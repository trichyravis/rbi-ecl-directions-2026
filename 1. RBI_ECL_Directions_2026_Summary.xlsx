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9"/>
  <workbookPr defaultThemeVersion="202300"/>
  <mc:AlternateContent xmlns:mc="http://schemas.openxmlformats.org/markup-compatibility/2006">
    <mc:Choice Requires="x15">
      <x15ac:absPath xmlns:x15ac="http://schemas.microsoft.com/office/spreadsheetml/2010/11/ac" url="/Users/trichyravis/Library/Mobile Documents/com~apple~CloudDocs/01. Ravis Academics/07. My Lectures Subject Wise/510 ECL Modelling Related/New RBI ECL Norms April 2027/"/>
    </mc:Choice>
  </mc:AlternateContent>
  <xr:revisionPtr revIDLastSave="0" documentId="8_{ECBD494F-5FE5-B640-8781-E151224C71DD}" xr6:coauthVersionLast="47" xr6:coauthVersionMax="47" xr10:uidLastSave="{00000000-0000-0000-0000-000000000000}"/>
  <bookViews>
    <workbookView xWindow="33600" yWindow="-1080" windowWidth="38400" windowHeight="21100" xr2:uid="{0F02CF1F-E549-454C-B8A4-6507A1FF1078}"/>
  </bookViews>
  <sheets>
    <sheet name="0. TOC" sheetId="9" r:id="rId1"/>
    <sheet name="1. Overview" sheetId="1" r:id="rId2"/>
    <sheet name="2. Stages &amp; SICR" sheetId="2" r:id="rId3"/>
    <sheet name="3. ECL Calculation" sheetId="3" r:id="rId4"/>
    <sheet name="4. Scenarios" sheetId="4" r:id="rId5"/>
    <sheet name="5. Floors S1-S2" sheetId="5" r:id="rId6"/>
    <sheet name="6. Floors S3" sheetId="6" r:id="rId7"/>
    <sheet name="7. CET1 Transition" sheetId="7" r:id="rId8"/>
    <sheet name="8. IRAC vs ECL" sheetId="8" r:id="rId9"/>
    <sheet name="9. Detailed Notes" sheetId="10" r:id="rId10"/>
    <sheet name="10. Loan Deep-Dive" sheetId="11" r:id="rId11"/>
    <sheet name="11. Bank Portfolio" sheetId="12" r:id="rId12"/>
    <sheet name="12. Exceptions" sheetId="13" r:id="rId13"/>
  </sheets>
  <calcPr calcId="191029"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6" i="9" l="1"/>
  <c r="B14" i="9"/>
  <c r="C19" i="12"/>
  <c r="D19" i="12" s="1"/>
  <c r="B42" i="12" s="1"/>
  <c r="B19" i="12"/>
  <c r="C18" i="12"/>
  <c r="D18" i="12" s="1"/>
  <c r="B41" i="12" s="1"/>
  <c r="B18" i="12"/>
  <c r="C17" i="12"/>
  <c r="D17" i="12" s="1"/>
  <c r="B40" i="12" s="1"/>
  <c r="B17" i="12"/>
  <c r="B20" i="12" s="1"/>
  <c r="K13" i="12"/>
  <c r="C13" i="12"/>
  <c r="B37" i="12" s="1"/>
  <c r="M11" i="12"/>
  <c r="N11" i="12" s="1"/>
  <c r="K11" i="12"/>
  <c r="M10" i="12"/>
  <c r="N10" i="12" s="1"/>
  <c r="O10" i="12" s="1"/>
  <c r="K10" i="12"/>
  <c r="M9" i="12"/>
  <c r="N9" i="12" s="1"/>
  <c r="O9" i="12" s="1"/>
  <c r="K9" i="12"/>
  <c r="M8" i="12"/>
  <c r="N8" i="12" s="1"/>
  <c r="O8" i="12" s="1"/>
  <c r="K8" i="12"/>
  <c r="M7" i="12"/>
  <c r="N7" i="12" s="1"/>
  <c r="K7" i="12"/>
  <c r="M6" i="12"/>
  <c r="M13" i="12" s="1"/>
  <c r="K6" i="12"/>
  <c r="B59" i="11"/>
  <c r="B26" i="11"/>
  <c r="B11" i="11"/>
  <c r="B44" i="11"/>
  <c r="B54" i="11" s="1"/>
  <c r="G39" i="11"/>
  <c r="B33" i="11"/>
  <c r="C23" i="11"/>
  <c r="C22" i="11"/>
  <c r="C21" i="11"/>
  <c r="C20" i="11"/>
  <c r="C19" i="11"/>
  <c r="F19" i="11" s="1"/>
  <c r="B20" i="11" s="1"/>
  <c r="B19" i="11"/>
  <c r="D19" i="11" s="1"/>
  <c r="F33" i="11" s="1"/>
  <c r="F18" i="11"/>
  <c r="E18" i="11"/>
  <c r="E16" i="3"/>
  <c r="H1" i="10"/>
  <c r="H1" i="8"/>
  <c r="H1" i="7"/>
  <c r="H1" i="6"/>
  <c r="H1" i="5"/>
  <c r="H1" i="4"/>
  <c r="H1" i="3"/>
  <c r="H1" i="2"/>
  <c r="H1" i="1"/>
  <c r="B13" i="9"/>
  <c r="B12" i="9"/>
  <c r="B11" i="9"/>
  <c r="B10" i="9"/>
  <c r="B9" i="9"/>
  <c r="B8" i="9"/>
  <c r="B7" i="9"/>
  <c r="B6" i="9"/>
  <c r="B5" i="9"/>
  <c r="B9" i="7"/>
  <c r="B11" i="7" s="1"/>
  <c r="C36" i="6"/>
  <c r="E36" i="6" s="1"/>
  <c r="B36" i="6"/>
  <c r="D36" i="6" s="1"/>
  <c r="F36" i="6" s="1"/>
  <c r="G36" i="6" s="1"/>
  <c r="C35" i="6"/>
  <c r="E35" i="6" s="1"/>
  <c r="B35" i="6"/>
  <c r="D35" i="6" s="1"/>
  <c r="E34" i="6"/>
  <c r="F34" i="6" s="1"/>
  <c r="G34" i="6" s="1"/>
  <c r="D34" i="6"/>
  <c r="C34" i="6"/>
  <c r="B34" i="6"/>
  <c r="D33" i="6"/>
  <c r="C33" i="6"/>
  <c r="E33" i="6" s="1"/>
  <c r="B33" i="6"/>
  <c r="C32" i="6"/>
  <c r="E32" i="6" s="1"/>
  <c r="B32" i="6"/>
  <c r="D32" i="6" s="1"/>
  <c r="F32" i="6" s="1"/>
  <c r="G32" i="6" s="1"/>
  <c r="D32" i="5"/>
  <c r="E32" i="5" s="1"/>
  <c r="G32" i="5" s="1"/>
  <c r="E31" i="5"/>
  <c r="G31" i="5" s="1"/>
  <c r="D31" i="5"/>
  <c r="E30" i="5"/>
  <c r="G30" i="5" s="1"/>
  <c r="D30" i="5"/>
  <c r="D29" i="5"/>
  <c r="E29" i="5" s="1"/>
  <c r="G29" i="5" s="1"/>
  <c r="B18" i="4"/>
  <c r="D15" i="4"/>
  <c r="F14" i="4"/>
  <c r="E14" i="4"/>
  <c r="E13" i="4"/>
  <c r="F13" i="4" s="1"/>
  <c r="E12" i="4"/>
  <c r="F12" i="4" s="1"/>
  <c r="B36" i="3"/>
  <c r="B32" i="3"/>
  <c r="E27" i="3"/>
  <c r="D27" i="3"/>
  <c r="C27" i="3"/>
  <c r="F27" i="3" s="1"/>
  <c r="F26" i="3"/>
  <c r="E26" i="3"/>
  <c r="D26" i="3"/>
  <c r="C26" i="3"/>
  <c r="E25" i="3"/>
  <c r="D25" i="3"/>
  <c r="C25" i="3"/>
  <c r="F25" i="3" s="1"/>
  <c r="F24" i="3"/>
  <c r="E24" i="3"/>
  <c r="D24" i="3"/>
  <c r="C24" i="3"/>
  <c r="E23" i="3"/>
  <c r="D23" i="3"/>
  <c r="C23" i="3"/>
  <c r="F23" i="3" s="1"/>
  <c r="D16" i="3"/>
  <c r="C16" i="3"/>
  <c r="F16" i="3" s="1"/>
  <c r="F18" i="3" s="1"/>
  <c r="B31" i="3" s="1"/>
  <c r="B33" i="3" s="1"/>
  <c r="D18" i="7" l="1"/>
  <c r="D17" i="7"/>
  <c r="D19" i="7"/>
  <c r="D16" i="7"/>
  <c r="D15" i="7"/>
  <c r="E20" i="11"/>
  <c r="D34" i="11" s="1"/>
  <c r="O7" i="12"/>
  <c r="E18" i="12"/>
  <c r="F18" i="12" s="1"/>
  <c r="O11" i="12"/>
  <c r="E19" i="12"/>
  <c r="B43" i="12" s="1"/>
  <c r="F28" i="3"/>
  <c r="B35" i="3" s="1"/>
  <c r="B37" i="3" s="1"/>
  <c r="F35" i="6"/>
  <c r="G35" i="6" s="1"/>
  <c r="F15" i="4"/>
  <c r="B19" i="4" s="1"/>
  <c r="B20" i="4" s="1"/>
  <c r="F33" i="6"/>
  <c r="G33" i="6" s="1"/>
  <c r="F20" i="11"/>
  <c r="B21" i="11" s="1"/>
  <c r="D20" i="11"/>
  <c r="F34" i="11" s="1"/>
  <c r="N6" i="12"/>
  <c r="E19" i="11"/>
  <c r="F19" i="12"/>
  <c r="C20" i="12"/>
  <c r="D20" i="12" s="1"/>
  <c r="E19" i="7" l="1"/>
  <c r="F19" i="7" s="1"/>
  <c r="D33" i="11"/>
  <c r="E16" i="7"/>
  <c r="F16" i="7" s="1"/>
  <c r="E17" i="12"/>
  <c r="N13" i="12"/>
  <c r="O6" i="12"/>
  <c r="E17" i="7"/>
  <c r="F17" i="7"/>
  <c r="E15" i="7"/>
  <c r="F15" i="7"/>
  <c r="D21" i="11"/>
  <c r="F21" i="11"/>
  <c r="B22" i="11" s="1"/>
  <c r="F18" i="7"/>
  <c r="E18" i="7"/>
  <c r="E20" i="12" l="1"/>
  <c r="F20" i="12" s="1"/>
  <c r="F17" i="12"/>
  <c r="F35" i="11"/>
  <c r="E21" i="11"/>
  <c r="F22" i="11"/>
  <c r="B23" i="11" s="1"/>
  <c r="D22" i="11"/>
  <c r="B24" i="12"/>
  <c r="B25" i="12" s="1"/>
  <c r="B38" i="12"/>
  <c r="B39" i="12" s="1"/>
  <c r="O13" i="12"/>
  <c r="E22" i="11" l="1"/>
  <c r="D36" i="11" s="1"/>
  <c r="F36" i="11"/>
  <c r="B27" i="12"/>
  <c r="B44" i="12"/>
  <c r="F23" i="11"/>
  <c r="D23" i="11"/>
  <c r="D35" i="11"/>
  <c r="F37" i="11" l="1"/>
  <c r="F38" i="11" s="1"/>
  <c r="E23" i="11"/>
  <c r="C34" i="12"/>
  <c r="C30" i="12"/>
  <c r="C33" i="12"/>
  <c r="D33" i="12" s="1"/>
  <c r="C32" i="12"/>
  <c r="D32" i="12" s="1"/>
  <c r="C31" i="12"/>
  <c r="D31" i="12" s="1"/>
  <c r="D34" i="12"/>
  <c r="D30" i="12"/>
  <c r="B45" i="12" s="1"/>
  <c r="D37" i="11" l="1"/>
  <c r="B25" i="11"/>
  <c r="E44" i="11" l="1"/>
  <c r="F44" i="11" s="1"/>
  <c r="B27" i="11"/>
  <c r="E48" i="11"/>
  <c r="E46" i="11"/>
  <c r="E45" i="11"/>
  <c r="C33" i="11"/>
  <c r="E47" i="11"/>
  <c r="G33" i="11" l="1"/>
  <c r="E33" i="11"/>
  <c r="B34" i="11" s="1"/>
  <c r="B53" i="11"/>
  <c r="B55" i="11" s="1"/>
  <c r="B75" i="11" s="1"/>
  <c r="C75" i="11" s="1"/>
  <c r="D75" i="11" l="1"/>
  <c r="E75" i="11"/>
  <c r="B45" i="11"/>
  <c r="F45" i="11" s="1"/>
  <c r="C34" i="11"/>
  <c r="G34" i="11" s="1"/>
  <c r="E34" i="11"/>
  <c r="B35" i="11" l="1"/>
  <c r="B63" i="11"/>
  <c r="B65" i="11" l="1"/>
  <c r="C35" i="11"/>
  <c r="E35" i="11"/>
  <c r="B36" i="11" s="1"/>
  <c r="B46" i="11"/>
  <c r="F46" i="11" s="1"/>
  <c r="C36" i="11" l="1"/>
  <c r="G36" i="11" s="1"/>
  <c r="B47" i="11"/>
  <c r="F47" i="11" s="1"/>
  <c r="E36" i="11"/>
  <c r="B37" i="11" s="1"/>
  <c r="G35" i="11"/>
  <c r="B66" i="11"/>
  <c r="B68" i="11" s="1"/>
  <c r="B70" i="11" s="1"/>
  <c r="B77" i="11" s="1"/>
  <c r="C37" i="11" l="1"/>
  <c r="B48" i="11"/>
  <c r="F48" i="11" s="1"/>
  <c r="B58" i="11" l="1"/>
  <c r="B60" i="11" s="1"/>
  <c r="B76" i="11" s="1"/>
  <c r="G37" i="11"/>
  <c r="G38" i="11" s="1"/>
  <c r="C38" i="11"/>
  <c r="E37" i="11"/>
  <c r="C76" i="11" l="1"/>
  <c r="C77" i="11"/>
  <c r="D77" i="11" s="1"/>
  <c r="E77" i="11" s="1"/>
  <c r="D76" i="11" l="1"/>
  <c r="D78" i="11" s="1"/>
  <c r="C78" i="11"/>
  <c r="E76" i="11"/>
  <c r="E78" i="11" s="1"/>
</calcChain>
</file>

<file path=xl/sharedStrings.xml><?xml version="1.0" encoding="utf-8"?>
<sst xmlns="http://schemas.openxmlformats.org/spreadsheetml/2006/main" count="667" uniqueCount="583">
  <si>
    <t>RBI ECL Directions, 2026 — Illustrated Summary</t>
  </si>
  <si>
    <t>Circular DOR.STR.REC.No.6/21.06.011/2026-27 • Issued 27-Apr-2026 • Effective 1-Apr-2027</t>
  </si>
  <si>
    <t>THREE PILLARS OF THE FRAMEWORK</t>
  </si>
  <si>
    <t>2. Forward-Looking Provisioning</t>
  </si>
  <si>
    <t>Macroeconomic forecasts, probability-weighted scenarios, point-in-time risk parameters.</t>
  </si>
  <si>
    <t>Amortised cost measurement using EIR, replacing simple contractual rate recognition.</t>
  </si>
  <si>
    <t>KEY DATES</t>
  </si>
  <si>
    <t>Date</t>
  </si>
  <si>
    <t>Milestone</t>
  </si>
  <si>
    <t>Circular issued</t>
  </si>
  <si>
    <t>ECL framework effective; entire loan portfolio fair-valued; opening ECL computed</t>
  </si>
  <si>
    <t>First quarterly reporting under ECL</t>
  </si>
  <si>
    <t>Last date for parallel IRAC reporting</t>
  </si>
  <si>
    <t>First annual reporting with prior-year comparatives</t>
  </si>
  <si>
    <t>Deadline for full EIR migration of all outstanding loans</t>
  </si>
  <si>
    <t>End of CET1 transitional adjustment period</t>
  </si>
  <si>
    <t>APPLICABILITY</t>
  </si>
  <si>
    <t>WORKBOOK CONTENTS</t>
  </si>
  <si>
    <t>Sheet 6 — Prudential Floors for Stage 3 (by ageing)</t>
  </si>
  <si>
    <t>STAGE 1</t>
  </si>
  <si>
    <t>STAGE 2</t>
  </si>
  <si>
    <t>STAGE 3</t>
  </si>
  <si>
    <t>Performing</t>
  </si>
  <si>
    <t>Under-Performing</t>
  </si>
  <si>
    <t>Non-Performing (NPA)</t>
  </si>
  <si>
    <t>SICR has occurred but asset is NOT credit-impaired</t>
  </si>
  <si>
    <t>12-month ECL</t>
  </si>
  <si>
    <t>Lifetime ECL</t>
  </si>
  <si>
    <t>Interest on EIR × gross carrying amount</t>
  </si>
  <si>
    <t>Interest on CASH BASIS only</t>
  </si>
  <si>
    <t>Facility-level</t>
  </si>
  <si>
    <t>Borrower-level (all exposures)</t>
  </si>
  <si>
    <t>Triggers / Movement Between Stages</t>
  </si>
  <si>
    <t>Facility Type</t>
  </si>
  <si>
    <t>Notes</t>
  </si>
  <si>
    <t>Term loans / amortising</t>
  </si>
  <si>
    <t>&gt; 30 days past due</t>
  </si>
  <si>
    <t>Rebuttable with reasonable &amp; supportable info; not mechanical</t>
  </si>
  <si>
    <t>Rebuttal policy must be Board-approved</t>
  </si>
  <si>
    <t>ILLUSTRATION: Loan Journey Through Stages</t>
  </si>
  <si>
    <t>Event</t>
  </si>
  <si>
    <t>DPD</t>
  </si>
  <si>
    <t>Stage</t>
  </si>
  <si>
    <t>ECL Basis</t>
  </si>
  <si>
    <t>Interest Income</t>
  </si>
  <si>
    <t>Loan disbursed (₹10 cr corporate term loan)</t>
  </si>
  <si>
    <t>Stage 1</t>
  </si>
  <si>
    <t>EIR × Gross</t>
  </si>
  <si>
    <t>First quarterly reporting</t>
  </si>
  <si>
    <t>Borrower misses instalment</t>
  </si>
  <si>
    <t>Stage 2</t>
  </si>
  <si>
    <t>Default — 90+ DPD</t>
  </si>
  <si>
    <t>Stage 3</t>
  </si>
  <si>
    <t>Cash basis only</t>
  </si>
  <si>
    <t>Borrower clears all arrears (cure)</t>
  </si>
  <si>
    <t>Sustained good performance — 6 months</t>
  </si>
  <si>
    <t>INPUTS — Hypothetical Corporate Loan</t>
  </si>
  <si>
    <t>Borrower</t>
  </si>
  <si>
    <t>ABC Manufacturing Ltd (Corporate)</t>
  </si>
  <si>
    <t>(₹ 10 cr)</t>
  </si>
  <si>
    <t>Bank's own estimate (regulatory backstop = 65%)</t>
  </si>
  <si>
    <t>Effective Interest Rate (EIR)</t>
  </si>
  <si>
    <t>Remaining Lifetime (years)</t>
  </si>
  <si>
    <t>STAGE 1 ECL — 12-month horizon</t>
  </si>
  <si>
    <t>Year</t>
  </si>
  <si>
    <t>PD (12-mo)</t>
  </si>
  <si>
    <t>LGD</t>
  </si>
  <si>
    <t>EAD (₹)</t>
  </si>
  <si>
    <t>Discount Factor</t>
  </si>
  <si>
    <t>Period ECL (₹)</t>
  </si>
  <si>
    <t>Stage 1 ECL</t>
  </si>
  <si>
    <t>STAGE 2 / STAGE 3 ECL — Lifetime horizon</t>
  </si>
  <si>
    <t>Marginal PD</t>
  </si>
  <si>
    <t>COMPARISON &amp; PRUDENTIAL FLOOR CHECK</t>
  </si>
  <si>
    <t>Stage 1 ECL (model output)</t>
  </si>
  <si>
    <t>Stage 1 floor for Corporate (0.40% × EAD)</t>
  </si>
  <si>
    <t>Stage 1 reported ECL (higher of model &amp; floor)</t>
  </si>
  <si>
    <t>Stage 2 ECL (model output — lifetime)</t>
  </si>
  <si>
    <t>Stage 2 floor for Corporate (5% × EAD)</t>
  </si>
  <si>
    <t>Stage 2 reported ECL (higher of model &amp; floor)</t>
  </si>
  <si>
    <t>LEGEND</t>
  </si>
  <si>
    <t>Blue = hardcoded input</t>
  </si>
  <si>
    <t>Black = formula</t>
  </si>
  <si>
    <t>Yellow highlight = key output</t>
  </si>
  <si>
    <t>Probability-Weighted Scenarios — Worked Example</t>
  </si>
  <si>
    <t>Banks must use multiple macroeconomic scenarios (minimum: base, upside, downside).</t>
  </si>
  <si>
    <t>INPUTS — Same Corporate Loan as Sheet 3</t>
  </si>
  <si>
    <t>SCENARIOS</t>
  </si>
  <si>
    <t>Scenario</t>
  </si>
  <si>
    <t>Macro Narrative</t>
  </si>
  <si>
    <t>Probability</t>
  </si>
  <si>
    <t>Scenario ECL (₹)</t>
  </si>
  <si>
    <t>Weighted ECL (₹)</t>
  </si>
  <si>
    <t>Upside</t>
  </si>
  <si>
    <t>Base</t>
  </si>
  <si>
    <t>GDP ~6.5%, stable inflation, baseline credit cycle</t>
  </si>
  <si>
    <t>Downside</t>
  </si>
  <si>
    <t>Total / Probability-Weighted ECL</t>
  </si>
  <si>
    <t>INTERPRETATION</t>
  </si>
  <si>
    <t>Single base-case PD-only ECL</t>
  </si>
  <si>
    <t>Probability-weighted ECL (RBI-compliant)</t>
  </si>
  <si>
    <t>Upside in ECL due to downside scenarios</t>
  </si>
  <si>
    <t>Probabilities must sum to 100%. Use historical analysis + expert judgment under Board-approved governance.</t>
  </si>
  <si>
    <t>Prudential Floors — Stage 1 &amp; Stage 2 (Section N)</t>
  </si>
  <si>
    <t>Banks' own ECL estimates must be at LEAST equal to these floors. For S1/S2, applied on a portfolio basis.</t>
  </si>
  <si>
    <t>#</t>
  </si>
  <si>
    <t>Loan Product Category</t>
  </si>
  <si>
    <t>Stage 1 Floor</t>
  </si>
  <si>
    <t>Stage 2 Floor</t>
  </si>
  <si>
    <t>(i)</t>
  </si>
  <si>
    <t>Secured retail loans (100% collateral coverage)</t>
  </si>
  <si>
    <t>(ii)</t>
  </si>
  <si>
    <t>Corporate loans</t>
  </si>
  <si>
    <t>(iii)</t>
  </si>
  <si>
    <t>Loans to Small &amp; Micro Enterprises</t>
  </si>
  <si>
    <t>(iv)</t>
  </si>
  <si>
    <t>Loans to Medium Enterprises</t>
  </si>
  <si>
    <t>(v)</t>
  </si>
  <si>
    <t>Farm credit — agricultural activities</t>
  </si>
  <si>
    <t>(vi)</t>
  </si>
  <si>
    <t>(vii)</t>
  </si>
  <si>
    <t>(viii)</t>
  </si>
  <si>
    <t>Gold loans</t>
  </si>
  <si>
    <t>(ix)</t>
  </si>
  <si>
    <t>(x)</t>
  </si>
  <si>
    <t>Unsecured retail loans</t>
  </si>
  <si>
    <t>(xi-a)</t>
  </si>
  <si>
    <t>Housing loans to individuals</t>
  </si>
  <si>
    <t>(xi-b-i)</t>
  </si>
  <si>
    <t>(xi-b-ii)</t>
  </si>
  <si>
    <t>(xi-c)</t>
  </si>
  <si>
    <t>(xi-d)</t>
  </si>
  <si>
    <t>(xii-a)</t>
  </si>
  <si>
    <t>Project finance — Pre-operational</t>
  </si>
  <si>
    <t>(xii-b)</t>
  </si>
  <si>
    <t>Project finance — Operational</t>
  </si>
  <si>
    <t>(xiii)</t>
  </si>
  <si>
    <t>(xiv)</t>
  </si>
  <si>
    <t>Restructured advances — standard</t>
  </si>
  <si>
    <t>(xv)</t>
  </si>
  <si>
    <t>Residual / other categories</t>
  </si>
  <si>
    <t>ILLUSTRATION — Portfolio-Level Floor Application</t>
  </si>
  <si>
    <t>Product</t>
  </si>
  <si>
    <t>Portfolio EAD (₹)</t>
  </si>
  <si>
    <t>Floor %</t>
  </si>
  <si>
    <t>Floor ECL (₹)</t>
  </si>
  <si>
    <t>Bank's Model ECL (₹)</t>
  </si>
  <si>
    <t>Reported ECL (₹)</t>
  </si>
  <si>
    <t>Corporate</t>
  </si>
  <si>
    <t>Unsecured retail</t>
  </si>
  <si>
    <t>Housing loans</t>
  </si>
  <si>
    <t>Restructured (std)</t>
  </si>
  <si>
    <t>Stage 3 floors are applied at the INDIVIDUAL ACCOUNT LEVEL. Floors increase progressively with time in Stage 3.</t>
  </si>
  <si>
    <t>TABLE A — General Categories (i)–(vi), (xii), (xiv), (xv)</t>
  </si>
  <si>
    <t>Duration in Stage 3</t>
  </si>
  <si>
    <t>Secured Portion</t>
  </si>
  <si>
    <t>Unsecured Portion</t>
  </si>
  <si>
    <t>0–1 year</t>
  </si>
  <si>
    <t>1–2 years</t>
  </si>
  <si>
    <t>2–3 years</t>
  </si>
  <si>
    <t>3–4 years</t>
  </si>
  <si>
    <t>After 4 years</t>
  </si>
  <si>
    <t>TABLE B — Lower-Risk Categories (vii)–(ix), (xi-a), (xiii)</t>
  </si>
  <si>
    <t>Secured</t>
  </si>
  <si>
    <t>Unsecured</t>
  </si>
  <si>
    <t>&gt; 4 years</t>
  </si>
  <si>
    <t>TABLE C — Unsecured Retail Loans (x)</t>
  </si>
  <si>
    <t>Floor</t>
  </si>
  <si>
    <t>After 1 year</t>
  </si>
  <si>
    <t>WORKED EXAMPLE — ₹10 cr Corporate NPA, secured ₹6 cr / unsecured ₹4 cr</t>
  </si>
  <si>
    <t>Total exposure (₹)</t>
  </si>
  <si>
    <t>Secured portion</t>
  </si>
  <si>
    <t>Unsecured portion</t>
  </si>
  <si>
    <t>Time in Stage 3</t>
  </si>
  <si>
    <t>Sec Floor %</t>
  </si>
  <si>
    <t>Unsec Floor %</t>
  </si>
  <si>
    <t>Sec Provision (₹)</t>
  </si>
  <si>
    <t>Unsec Provision (₹)</t>
  </si>
  <si>
    <t>Total Floor (₹)</t>
  </si>
  <si>
    <t>Floor as % of EAD</t>
  </si>
  <si>
    <t>INPUTS</t>
  </si>
  <si>
    <t>ECL on 1-Apr-2027 (₹ cr)</t>
  </si>
  <si>
    <t>IRAC provisions on 31-Mar-2027 (₹ cr)</t>
  </si>
  <si>
    <t>Gross transitional shortfall (ECL − IRAC)</t>
  </si>
  <si>
    <t>Tax rate</t>
  </si>
  <si>
    <t>Net transitional shortfall (post-tax)</t>
  </si>
  <si>
    <t>PHASED CET1 ADD-BACK</t>
  </si>
  <si>
    <t>Financial Year</t>
  </si>
  <si>
    <t>Fraction (f)</t>
  </si>
  <si>
    <t>% Add-Back</t>
  </si>
  <si>
    <t>Net Shortfall (₹ cr)</t>
  </si>
  <si>
    <t>CET1 Add-Back (₹ cr)</t>
  </si>
  <si>
    <t>P&amp;L / Retained Earnings Hit (₹ cr)</t>
  </si>
  <si>
    <t>FY 2027–28</t>
  </si>
  <si>
    <t>FY 2028–29</t>
  </si>
  <si>
    <t>FY 2029–30</t>
  </si>
  <si>
    <t>FY 2030–31</t>
  </si>
  <si>
    <t>FY 2031–32+</t>
  </si>
  <si>
    <t>KEY POINTS</t>
  </si>
  <si>
    <t>• Add-back flows to Tier 1 and Total Capital, but is NOT included in Tier 2.</t>
  </si>
  <si>
    <t>Dimension</t>
  </si>
  <si>
    <t>Old IRAC Regime</t>
  </si>
  <si>
    <t>New ECL Framework (2026)</t>
  </si>
  <si>
    <t>Loss Model</t>
  </si>
  <si>
    <t>Incurred loss (backward-looking)</t>
  </si>
  <si>
    <t>Expected loss (forward-looking)</t>
  </si>
  <si>
    <t>Provisioning Trigger</t>
  </si>
  <si>
    <t>After default (90 days overdue)</t>
  </si>
  <si>
    <t>From Day 1 (12-month ECL on origination)</t>
  </si>
  <si>
    <t>Asset Stages</t>
  </si>
  <si>
    <t>Standard / NPA sub-categories</t>
  </si>
  <si>
    <t>Standard Asset Provision</t>
  </si>
  <si>
    <t>Flat percentage (0.25% – 2%) by sector</t>
  </si>
  <si>
    <t>Model-based ECL with product-wise floors</t>
  </si>
  <si>
    <t>NPA Provisioning</t>
  </si>
  <si>
    <t>Fixed percentages by NPA category</t>
  </si>
  <si>
    <t>ECL model output subject to progressive Stage 3 floors</t>
  </si>
  <si>
    <t>Interest Rate Basis</t>
  </si>
  <si>
    <t>Contractual rate</t>
  </si>
  <si>
    <t>Fair Valuation</t>
  </si>
  <si>
    <t>Not required at transition</t>
  </si>
  <si>
    <t>Entire portfolio fair-valued on 1-Apr-2027</t>
  </si>
  <si>
    <t>Macroeconomic Inputs</t>
  </si>
  <si>
    <t>Not formally required</t>
  </si>
  <si>
    <t>Mandatory — multiple scenarios, probability-weighted</t>
  </si>
  <si>
    <t>Model Governance</t>
  </si>
  <si>
    <t>Not specifically prescribed</t>
  </si>
  <si>
    <t>Three-tier model risk management + validation framework</t>
  </si>
  <si>
    <t>Capital Impact</t>
  </si>
  <si>
    <t>Stage 3 / NPA Level</t>
  </si>
  <si>
    <t>Borrower-level</t>
  </si>
  <si>
    <t>Borrower-level (retained); Stage 2 = facility-level</t>
  </si>
  <si>
    <t>EXPECTED IMPACT ON BANK FINANCIALS</t>
  </si>
  <si>
    <t>• Earnings volatility: Forward-looking ECL fluctuates with macro forecasts, creating provisioning cyclicality.</t>
  </si>
  <si>
    <t>• Operational costs: Significant investment in data, models, validation, and governance infrastructure.</t>
  </si>
  <si>
    <t>ADDITIONAL PROVISIONS &amp; SPECIAL CASES</t>
  </si>
  <si>
    <t>• Stressed Assets: Per Resolution of Stressed Assets Directions, 2025.</t>
  </si>
  <si>
    <t>• Fraud accounts: Full provisioning of amount due immediately on detection (less eligible financial collateral).</t>
  </si>
  <si>
    <t>• Wilful defaulters: Additional 5% provision over ECL for exposures to companies with directors on the wilful defaulter list.</t>
  </si>
  <si>
    <t>• FX revaluation gains on NPA foreign currency loans must be used for additional provisioning.</t>
  </si>
  <si>
    <t>• Stage 3 collateral valuation: For exposures &gt; ₹7.5 cr, valued at classification and at least every 2 years (stock annually).</t>
  </si>
  <si>
    <t>• Trade &amp; lease receivables: Simplified approach — always lifetime ECL via provision matrix (Annex 2).</t>
  </si>
  <si>
    <t>RBI ECL Directions, 2026 — Workbook Contents</t>
  </si>
  <si>
    <t>Click any link below to jump to that sheet. Use Ctrl+Home to return here.</t>
  </si>
  <si>
    <t>Section</t>
  </si>
  <si>
    <t>What's inside</t>
  </si>
  <si>
    <t>Three pillars, key dates, applicability</t>
  </si>
  <si>
    <t>Stage 1 &amp; Stage 2 floors for all 15 product categories + portfolio example</t>
  </si>
  <si>
    <t>Stage 3 ageing-based floors (general / lower-risk / unsecured retail)</t>
  </si>
  <si>
    <t>Source: RBI Circular DOR.STR.REC.No.6/21.06.011/2026-27 dated 27-Apr-2026 • Effective 1-Apr-2027</t>
  </si>
  <si>
    <t>RBI ECL Directions, 2026 — Detailed Notes</t>
  </si>
  <si>
    <t>Comprehensive chapter-by-chapter notes • Circular DOR.STR.REC.No.6/21.06.011/2026-27 • 27-Apr-2026</t>
  </si>
  <si>
    <t>1. EXECUTIVE OVERVIEW</t>
  </si>
  <si>
    <t>Three pillars: (1) ECL-based 3-stage staging framework replacing incurred-loss; (2) Forward-looking provisioning with macroeconomic scenarios; (3) Effective Interest Rate (EIR) measurement at amortised cost.</t>
  </si>
  <si>
    <t>2. NPA CLASSIFICATION (CHAPTER II) — RETAINED</t>
  </si>
  <si>
    <t>Borrower-level NPA: if any one exposure to a borrower becomes NPA, ALL exposures to that borrower must be classified as NPA. Upgrade requires repayment of entire arrears across all facilities.</t>
  </si>
  <si>
    <t>Sub-categories: Sub-standard (NPA ≤12 months) → Doubtful (sub-standard for 12 months) → Loss (uncollectible).</t>
  </si>
  <si>
    <t>3. THE ECL FRAMEWORK (CHAPTER III)</t>
  </si>
  <si>
    <t>Level: Stage 3 at BORROWER level (any exposure Stage 3 ⇒ all exposures Stage 3, including non-funded). Stage 2 at FACILITY level.</t>
  </si>
  <si>
    <t>4. ECL COMPUTATION MECHANICS</t>
  </si>
  <si>
    <t>5. PRUDENTIAL FLOORS (SECTION N)</t>
  </si>
  <si>
    <t>Banks' own ECL estimates must be at LEAST equal to RBI-prescribed product- and stage-wise floors. Stage 1 &amp; 2 floors apply on a PORTFOLIO basis (per product category). Stage 3 floors apply at the INDIVIDUAL ACCOUNT level.</t>
  </si>
  <si>
    <t>Stage 3 floors increase progressively with time in Stage 3. Three buckets: (a) General categories — 25/40 → 40/100 → 55/100 → 75/100 → 100/100 (sec/unsec %). (b) Lower-risk categories — 10/25 → 20/100 → 30/100 → 40/100 → 100/100. (c) Unsecured retail — 25% in year 1, 100% thereafter. See Sheet 6.</t>
  </si>
  <si>
    <t>6. INCOME RECOGNITION (CHAPTER IV)</t>
  </si>
  <si>
    <t>7. TRANSITION ARRANGEMENTS (SECTION U)</t>
  </si>
  <si>
    <t>8. MODEL RISK MANAGEMENT (CHAPTER V)</t>
  </si>
  <si>
    <t>Three-tier framework: Tier 1 — Front-Line (model owners: develop, implement, use, validate). Tier 2 — Risk Management &amp; Compliance (oversight, validation, limits, remediation). Tier 3 — Internal Audit (objective assurance on Tiers 1 &amp; 2; reports to Board / Audit Committee).</t>
  </si>
  <si>
    <t>9. GOVERNANCE FRAMEWORK</t>
  </si>
  <si>
    <t>10. DISCLOSURES &amp; REPORTING (CHAPTER VI)</t>
  </si>
  <si>
    <t>Reporting timeline: First ECL reporting based on financial position as on 30-Jun-2027. Parallel IRAC reporting continues until 31-Dec-2027. Full prior-year comparatives begin from 31-Mar-2028.</t>
  </si>
  <si>
    <t>11. ADDITIONAL PROVISIONS &amp; SPECIAL CASES</t>
  </si>
  <si>
    <t>Stressed Assets Resolution: additional provisioning per Resolution of Stressed Assets Directions, 2025.</t>
  </si>
  <si>
    <t>Fraud accounts: full provisioning of amount due immediately on detection (less eligible financial collateral).</t>
  </si>
  <si>
    <t>Wilful defaulters: additional 5% provision OVER ECL for exposures to companies with directors on the wilful-defaulter list.</t>
  </si>
  <si>
    <t>Stage 3 collateral valuation: for exposures &gt; ₹7.5 cr, collateral valued at classification and at least every 2 years (stock: annually).</t>
  </si>
  <si>
    <t>Floating / countercyclical provisions may be utilised towards ECL provisioning.</t>
  </si>
  <si>
    <t>Simplified approach (Annex 2): for trade and lease receivables — always lifetime ECL via provision matrix based on historical loss rates adjusted for forward-looking information.</t>
  </si>
  <si>
    <t>12. IRAC vs ECL — KEY DIFFERENCES</t>
  </si>
  <si>
    <t>13. IMPLICATIONS FOR INDIAN BANKS</t>
  </si>
  <si>
    <t>Source: RBI Circular DOR.STR.REC.No.6/21.06.011/2026-27 dated 27-Apr-2026. For regulatory compliance always refer to the original circular.</t>
  </si>
  <si>
    <t>On 27-Apr-2026 the Reserve Bank of India (RBI) issued a landmark direction mandating all commercial banks to adopt the Expected Credit Loss (ECL) framework for provisioning, effective 1-Apr-2027. This is India's most significant shift in credit-risk provisioning since the introduction of prudential norms in 1992 and aligns Indian banking with International Financial Reporting Standard 9 (IFRS 9) principles while retaining India-specific safeguards (notably the 90-day Non-Performing Asset / NPA norm).</t>
  </si>
  <si>
    <t>Applies to all Commercial Banks including State Bank of India (SBI). Excludes Small Finance Banks (SFBs), Payment Banks, Local Area Banks (LABs) and Regional Rural Banks (RRBs). SFBs are referenced only in the Micro, Small &amp; Medium Enterprises (MSME) exposure context.</t>
  </si>
  <si>
    <t>The 90-day Non-Performing Asset (NPA) norm is RETAINED. ECL staging operates ALONGSIDE NPA classification, not in replacement. Stage 3 under ECL = NPA / credit-impaired.</t>
  </si>
  <si>
    <t>NPA triggers (any one): (i) interest/principal overdue &gt;90 days for term loans / bills purchased &amp; discounted; (ii) 'Out of order' status for Overdraft (OD) / Cash Credit (CC) accounts for 90 days; (iii) OD/CC drawings on stock or receivable statements older than 3 months, permitted for 90 continuous days; (iv) Two crop seasons overdue (short-duration crops) or one crop season (long-duration crops) for agricultural loans; (v) Liquidity facility outstanding &gt;90 days in securitisation; (vi) Partial Credit Enhancement (PCE) outstanding ≥ 90 days; (vii) Credit card minimum amount due unpaid for 90 days; (viii) Debt-instrument interest/instalment unpaid &gt;90 days.</t>
  </si>
  <si>
    <t>Special exceptions: Bills under Letter of Credit (LC) — not classified as NPA unless LC documents are dishonoured and the borrower fails to make good. Advances against term deposits exempt if margin ≥100% (except where NPA arises from borrower-level tagging). Central Government guarantees — NPA only on repudiation. Co-Lending Arrangements (CLAs): borrower-level classification applies to both Regulated Entities (REs); information-sharing must occur by end of next working day.</t>
  </si>
  <si>
    <t>Scope: loans, debt securities (non-Fair Value Through Profit &amp; Loss / non-FVTPL satisfying the Solely Payments of Principal &amp; Interest / SPPI criterion), trade receivables, lease receivables, loan commitments (including undrawn), off-balance-sheet credit exposures, and any other financial asset with contractual cash-flow rights. Excludes investments in subsidiaries, associates and joint ventures (JVs).</t>
  </si>
  <si>
    <t>Three stages: STAGE 1 (no Significant Increase in Credit Risk / SICR since origination; low-credit-risk instruments also qualify) — 12-month ECL, facility level. STAGE 2 (SICR has occurred but asset is NOT credit-impaired) — lifetime ECL, facility level. STAGE 3 (credit-impaired = NPA) — lifetime ECL, BORROWER level, interest recognised on cash basis only.</t>
  </si>
  <si>
    <t>Significant Increase in Credit Risk (SICR) — rebuttable presumptions / backstops: &gt; 30 Days Past Due (DPD) for term and amortising facilities; outstanding above sanctioned limit or Drawing Power (DP) continuously for up to 60 days for revolving facilities (Cash Credit / CC and Overdraft / OD). Rebuttal needs reasonable &amp; supportable information, must not be routine or mechanical, and requires a Board-approved policy applied consistently.</t>
  </si>
  <si>
    <t>SICR parameters (Annex 1, illustrative): internal/external rating downgrades, credit-spread changes, Credit Default Swap (CDS) prices, adverse macroeconomic outlook, borrower financial distress, collateral-value deterioration, covenant breaches, watch-list classification, past-due information. All criteria must be documented and used consistently.</t>
  </si>
  <si>
    <t>SICR exemptions (no Stage 1 ECL needed): Statutory Liquidity Ratio (SLR)-eligible investments, direct claims on Central Government, exposures fully guaranteed by Central Government, and exposures to foreign sovereigns / central banks / Multilateral Development Banks (MDBs) / Bank for International Settlements (BIS) / International Monetary Fund (IMF) attracting 0% risk weight.</t>
  </si>
  <si>
    <t>Formula: ECL = Σ PDₜ × LGDₜ × EADₜ × DFₜ, where PD = Probability of Default, LGD = Loss Given Default, EAD = Exposure at Default and DF = Discount Factor (using EIR). Horizon T = 12 months for Stage 1 or remaining lifetime for Stage 2 / 3. ECL is the probability-weighted average across multiple macroeconomic scenarios.</t>
  </si>
  <si>
    <t>Probability of Default (PD): Stage 1 — 12-month PD; Stage 2 — lifetime PD (must reflect higher risk; not mechanically derived from Stage 1 PD). Regulatory PD floor = 0.03% (12-month). Must incorporate forward-looking macro variables; historical Observed Default Rate (ODR) adjusted for current conditions.</t>
  </si>
  <si>
    <t>Loss Given Default (LGD): Bank's own estimate preferred (based on historical data). Regulatory backstop — secured 65%, unsecured 70%. Specific eligible-collateral LGD = 30% (cash, gold including bullion &amp; jewellery, Government securities, Life Insurance Corporation / LIC policies, Kisan Vikas Patra / KVP, National Savings Certificate / NSC).</t>
  </si>
  <si>
    <t>Exposure at Default (EAD): Bank-estimated. Credit-risk mitigants shall NOT be netted from EAD. For off-balance-sheet items, regulatory Credit Conversion Factor (CCF) from the capital-charge directions may be used if internal estimation is not reliable.</t>
  </si>
  <si>
    <t>Probability-weighted scenarios: ECL must be unbiased — NOT worst-case, NOT best-case. Banks must use multiple macroeconomic scenarios (minimum: base, upside, downside), each with probability weights derived from historical analysis and expert judgment under governance oversight.</t>
  </si>
  <si>
    <t>Effective Interest Rate (EIR): New loans (post 1-Apr-2027) — ECL discounted at EIR from inception. Existing loans — may use contractual rate initially; full EIR migration by 31-Mar-2030. EIR includes all contractual terms, integral fees, and transaction costs. Re-estimated for floating-rate instruments on benchmark changes. Purchased or Originated Credit-Impaired (POCI) assets use Credit-Adjusted EIR.</t>
  </si>
  <si>
    <t>Lifetime period: term loans — maximum contractual including extensions; loans with undrawn commitment — period of credit-risk exposure even beyond contractual; revolving facilities without auto-renewal — contractual period (renewal date used only when substantive reassessment is demonstrated); revolving with auto-renewal (e.g., credit cards) — based on historical default patterns, drawdown behaviour, effectiveness of limit actions; guarantees — maximum contractual obligation period.</t>
  </si>
  <si>
    <t>Stage 1 / Stage 2 floors span 15 product categories (i)–(xv): from secured retail (0.40% / 5%) and corporate (0.40% / 5%) through unsecured retail (1% / 5%), gold loans (0.40% / 1.5%), housing loans (0.25% / 1.5%), Commercial Real Estate / CRE (1.25% / Date of Commencement of Commercial Operations / DCCO-linked), to restructured-standard (5% / 10%) and residual (0.40% / 5%). See Sheet 5 for the full table.</t>
  </si>
  <si>
    <t>Stage 1 &amp; 2: interest recognised by applying EIR to GROSS carrying amount. Stage 3 / credit-impaired: interest NOT accrued — cash-basis only. Purchased or Originated Credit-Impaired (POCI) assets: always cash basis. On cure / upgrade from Stage 3: revert to EIR on gross carrying amount, subject to staging and upgrade conditions. Legacy pre-Apr-2027 loans may use contractual rate initially; must migrate to EIR by 31-Mar-2030.</t>
  </si>
  <si>
    <t>On 1-Apr-2027 banks must FAIR-VALUE the entire loan portfolio. The difference between fair value and carrying amount is adjusted against OPENING RETAINED EARNINGS (not Profit &amp; Loss / P&amp;L). Where fair value is not materially different from carrying amount, carrying amount is presumed to be the best evidence of fair value.</t>
  </si>
  <si>
    <t>Common Equity Tier 1 (CET1) capital transitional relief: where ECL exceeds existing Income Recognition, Asset Classification &amp; Provisioning (IRAC) provisions, banks may add back a declining post-tax fraction to CET1 — Financial Year (FY) 2027–28: 4/5 (80%); FY 2028–29: 3/5 (60%); FY 2029–30: 2/5 (40%); FY 2030–31: 1/5 (20%). The add-back flows to Tier 1 and Total Capital but NOT to Tier 2; cannot be used to reduce Standardised Approach (SA) exposure amounts or leverage-ratio exposure.</t>
  </si>
  <si>
    <t>Formula: CET1 Add-Back = f × max(0, ECL on 1-Apr-2027 − IRAC provisions on 31-Mar-2027) × (1 − Tax Rate), where f is the applicable phase-in fraction for the year.</t>
  </si>
  <si>
    <t>Six core principles: (A) Comprehensive central model inventory with owners, tiering, dependencies and validation status. (B) Risk-based tiering — higher-impact models receive more frequent and rigorous validation. (C) Structured lifecycle: development → pre-implementation validation → implementation → monitoring → independent validation → recalibration / retirement. (D) Macroeconomic integration — multiple scenarios, probability-weighted, documented variable-selection rationale. (E) Post-Model Adjustments (PMAs) — management overlays must be documented with justification, calculation criteria and validation triggers. (F) Third-party models — banks remain fully responsible; contracts must enable RBI supervisory evaluation and access to documentation.</t>
  </si>
  <si>
    <t>The Board of Directors has ultimate oversight of ECL implementation. A Board / Board-approved committee (including the Chief Financial Officer / CFO and the Chief Risk Officer / CRO) must oversee ECL strategy, methodology consistency, data integrity, governance over estimation, model-validation independence, disclosure quality and regulatory compliance. Banks must ensure data granularity and effective segmentation, and avoid grouping that masks individual-exposure deterioration. ECL estimates must be unbiased with adequate processes, systems and controls.</t>
  </si>
  <si>
    <t>Annex 4 disclosure tables: Table 1 Credit quality of financial instruments — stage-wise with past-due ageing; Table 2 Summary of loan assets, gross/net by stage; Table 3 Loss-allowance reconciliation (opening to closing); Table 4 PD / EAD / LGD methodology (quarterly to RBI); Table 5 Macroeconomic assumptions — base / upside / downside (to RBI only); Table 6 ECL adjustments — Post-Model Adjustments (PMAs) and overlays (to RBI only); Table 7 Forward-looking PD / LGD by stage (to RBI only); Table 8 SICR criteria by product category (to RBI only); Table 9 Reconciliation of opening reserves (to RBI by 30-Jun-2027); Table 10 Gross / Net advances and NPAs.</t>
  </si>
  <si>
    <t>Foreign currency loans: exchange-rate revaluation gains on Foreign Currency / FCY NPA loans must be used for additional provisioning.</t>
  </si>
  <si>
    <t>Default Loss Guarantee (DLG): may be considered in ECL across all stages, provided the DLG is integral to loan terms and not separately recognised. ECL must be recomputed on each DLG invocation.</t>
  </si>
  <si>
    <t>ECL on investments: same product-category floors apply based on issuer category. Fair Value Through Profit &amp; Loss (FVTPL) non-performing instruments attract Stage 3 residual-category provisioning.</t>
  </si>
  <si>
    <t>Loss model: incurred (backward-looking) → expected (forward-looking). Trigger: post-default → from Day 1. Stages: Standard / NPA → Stage 1 / 2 / 3 + Purchased or Originated Credit-Impaired (POCI). Standard provision: flat 0.25–2% → model-based with floors. Interest: contractual rate → Effective Interest Rate (EIR). Fair valuation: not required → entire portfolio on 1-Apr-2027. Macroeconomic inputs: not formal → mandatory probability-weighted. Governance: not specifically prescribed → three-tier model-risk framework. Capital impact: direct Profit &amp; Loss (P&amp;L) hit → 4-year transitional CET1 add-back.</t>
  </si>
  <si>
    <t>Action items: (1) Build/procure PD–LGD–EAD models per portfolio segment with forward-looking macro variables. (2) Granular historical loss databases covering full business cycles. (3) Documented Board-approved SICR criteria and rebuttal policy. (4) Upgrade core banking systems for EIR computation and fee amortisation. (5) Methodologies for Day-1 fair valuation. (6) Quantify transitional adjustment and plan capital management across the 4-year phase-in. (7) Board-level ECL committee + three-tier model-risk framework. (8) Automated staging, provisioning, income recognition and audit trails per Annex 3.</t>
  </si>
  <si>
    <t>Expected impact: higher Day-1 provisioning (Stage 1 ECL on the entire performing book is a NEW cost absent under IRAC); earnings volatility from forward-looking macro forecasts; CET1 pressure (mitigated by 4-year relief but tight for weak-capital banks); pro-cyclicality — downturns trigger mass Stage 1 → Stage 2 migrations amplifying provisions; significant operational investment in data, models, validation and governance.</t>
  </si>
  <si>
    <t>GLOSSARY OF ABBREVIATIONS</t>
  </si>
  <si>
    <t>ADC — Acquisition, Development &amp; Construction (real-estate exposure type)</t>
  </si>
  <si>
    <t>BIS — Bank for International Settlements</t>
  </si>
  <si>
    <t>CC — Cash Credit (working-capital revolving facility)</t>
  </si>
  <si>
    <t>CCF — Credit Conversion Factor (used for off-balance-sheet items)</t>
  </si>
  <si>
    <t>CDS — Credit Default Swap</t>
  </si>
  <si>
    <t>CET1 — Common Equity Tier 1 (regulatory capital)</t>
  </si>
  <si>
    <t>CFO — Chief Financial Officer</t>
  </si>
  <si>
    <t>CGTMSE — Credit Guarantee Fund Trust for Micro &amp; Small Enterprises</t>
  </si>
  <si>
    <t>CLA — Co-Lending Arrangement</t>
  </si>
  <si>
    <t>CRE — Commercial Real Estate; CRE-RH — Commercial Real Estate – Residential Housing</t>
  </si>
  <si>
    <t>CRO — Chief Risk Officer</t>
  </si>
  <si>
    <t>DCCO — Date of Commencement of Commercial Operations</t>
  </si>
  <si>
    <t>DF — Discount Factor</t>
  </si>
  <si>
    <t>DLG — Default Loss Guarantee</t>
  </si>
  <si>
    <t>DP — Drawing Power (sanctioned drawing limit on revolving facilities)</t>
  </si>
  <si>
    <t>DPD — Days Past Due</t>
  </si>
  <si>
    <t>EAD — Exposure at Default</t>
  </si>
  <si>
    <t>ECL — Expected Credit Loss</t>
  </si>
  <si>
    <t>EIR — Effective Interest Rate</t>
  </si>
  <si>
    <t>FCY — Foreign Currency</t>
  </si>
  <si>
    <t>FI — Financial Institution</t>
  </si>
  <si>
    <t>FVTPL — Fair Value Through Profit &amp; Loss</t>
  </si>
  <si>
    <t>FY — Financial Year (Apr 1 – Mar 31 in India)</t>
  </si>
  <si>
    <t>IFRS 9 — International Financial Reporting Standard 9 (Financial Instruments)</t>
  </si>
  <si>
    <t>IMF — International Monetary Fund</t>
  </si>
  <si>
    <t>IRAC — Income Recognition, Asset Classification &amp; Provisioning (the prior RBI prudential regime)</t>
  </si>
  <si>
    <t>JV — Joint Venture</t>
  </si>
  <si>
    <t>KVP — Kisan Vikas Patra (Government savings certificate)</t>
  </si>
  <si>
    <t>LAB — Local Area Bank</t>
  </si>
  <si>
    <t>LC — Letter of Credit</t>
  </si>
  <si>
    <t>LGD — Loss Given Default</t>
  </si>
  <si>
    <t>LIC — Life Insurance Corporation of India</t>
  </si>
  <si>
    <t>MDB — Multilateral Development Bank</t>
  </si>
  <si>
    <t>MSME — Micro, Small &amp; Medium Enterprises</t>
  </si>
  <si>
    <t>NBFC — Non-Banking Financial Company</t>
  </si>
  <si>
    <t>NPA — Non-Performing Asset</t>
  </si>
  <si>
    <t>NSC — National Savings Certificate</t>
  </si>
  <si>
    <t>OD — Overdraft</t>
  </si>
  <si>
    <t>ODR — Observed Default Rate</t>
  </si>
  <si>
    <t>PCE — Partial Credit Enhancement</t>
  </si>
  <si>
    <t>PD — Probability of Default</t>
  </si>
  <si>
    <t>P&amp;L — Profit &amp; Loss (statement)</t>
  </si>
  <si>
    <t>PMA — Post-Model Adjustment (management overlay)</t>
  </si>
  <si>
    <t>POCI — Purchased or Originated Credit-Impaired (financial assets)</t>
  </si>
  <si>
    <t>RBI — Reserve Bank of India</t>
  </si>
  <si>
    <t>RE — Regulated Entity</t>
  </si>
  <si>
    <t>RRB — Regional Rural Bank</t>
  </si>
  <si>
    <t>RW — Risk Weight</t>
  </si>
  <si>
    <t>SA — Standardised Approach (under Basel capital framework)</t>
  </si>
  <si>
    <t>SBI — State Bank of India</t>
  </si>
  <si>
    <t>SFB — Small Finance Bank</t>
  </si>
  <si>
    <t>SICR — Significant Increase in Credit Risk</t>
  </si>
  <si>
    <t>SLR — Statutory Liquidity Ratio</t>
  </si>
  <si>
    <t>SMA — Special Mention Account</t>
  </si>
  <si>
    <t>SPPI — Solely Payments of Principal and Interest (cash-flow test)</t>
  </si>
  <si>
    <t>1. ECL-Based Staging (Expected Credit Loss)</t>
  </si>
  <si>
    <t>3. Effective Interest Rate (EIR) Method</t>
  </si>
  <si>
    <t>Applies to: All Commercial Banks (including State Bank of India / SBI, banking companies, corresponding new banks)</t>
  </si>
  <si>
    <t>Excluded: Small Finance Banks (SFBs), Payment Banks, Local Area Banks (LABs), Regional Rural Banks (RRBs)</t>
  </si>
  <si>
    <t>Sheet 2 — Stages &amp; Significant Increase in Credit Risk (SICR) (3-stage model with worked transitions)</t>
  </si>
  <si>
    <t>Sheet 3 — ECL Calculation: Probability of Default (PD) × Loss Given Default (LGD) × Exposure at Default (EAD) worked example</t>
  </si>
  <si>
    <t>Sheet 4 — Probability-Weighted Scenarios (base / upside / downside)</t>
  </si>
  <si>
    <t>Sheet 5 — Prudential Floors for Stage 1 &amp; Stage 2 (by product category)</t>
  </si>
  <si>
    <t>Sheet 7 — Common Equity Tier 1 (CET1) Transitional Adjustment (4-year phase-in)</t>
  </si>
  <si>
    <t>Sheet 8 — Income Recognition, Asset Classification &amp; Provisioning (IRAC) vs ECL (key differences)</t>
  </si>
  <si>
    <t>The Three-Stage ECL Model &amp; Significant Increase in Credit Risk (SICR)</t>
  </si>
  <si>
    <t>No Significant Increase in Credit Risk (SICR) since origination</t>
  </si>
  <si>
    <t>Credit-impaired = Non-Performing Asset / NPA (90+ Days Past Due or other default trigger)</t>
  </si>
  <si>
    <t>Stage 1 → Stage 2: Significant Increase in Credit Risk (SICR) since origination</t>
  </si>
  <si>
    <t>Stage 2 → Stage 3: Default occurs (asset becomes Non-Performing Asset / credit-impaired)</t>
  </si>
  <si>
    <t>Stage 3 → Stage 2 / Stage 2 → Stage 1: Cure (subject to upgrade conditions)</t>
  </si>
  <si>
    <t>SICR — REBUTTABLE PRESUMPTIONS (30 / 60-day backstops)</t>
  </si>
  <si>
    <t>Days Past Due (DPD) Trigger</t>
  </si>
  <si>
    <t>Revolving — Cash Credit (CC) / Overdraft (OD)</t>
  </si>
  <si>
    <t>Outstanding &gt; sanctioned limit / Drawing Power (DP) for up to 60 continuous days</t>
  </si>
  <si>
    <t>Expected Credit Loss (ECL) Computation — Worked Example (PD × LGD × EAD × DF)</t>
  </si>
  <si>
    <t>Formula: ECL = Σ (PDₜ × LGDₜ × EADₜ × DFₜ) — Probability of Default × Loss Given Default × Exposure at Default × Discount Factor</t>
  </si>
  <si>
    <t>T = 12 months for Stage 1; remaining lifetime for Stage 2 / Stage 3. The Discount Factor uses the Effective Interest Rate (EIR).</t>
  </si>
  <si>
    <t>Exposure at Default / EAD</t>
  </si>
  <si>
    <t>Loss Given Default / LGD — secured</t>
  </si>
  <si>
    <t>Effective Interest Rate / EIR</t>
  </si>
  <si>
    <t>Probability of Default / PD floor (regulatory)</t>
  </si>
  <si>
    <t>Note: Lifetime PD reflects a higher risk profile and is NOT mechanically derived from the Stage 1 PD.</t>
  </si>
  <si>
    <t>RBI requires Expected Credit Loss (ECL) to be an unbiased, probability-weighted estimate — not worst-case, not best-case.</t>
  </si>
  <si>
    <t>12-month Probability of Default (PD)</t>
  </si>
  <si>
    <t>Recession, Gross Domestic Product (GDP) &lt;4%, rising NPAs, tightening cycle</t>
  </si>
  <si>
    <t>GDP growth &gt;7%, low Non-Performing Assets (NPAs), easing rates</t>
  </si>
  <si>
    <t>Loans to Banks, Non-Banking Financial Companies (NBFCs), other regulated Financial Institutions (FIs)</t>
  </si>
  <si>
    <t>Loans against Term Deposits / Life Insurance Corporation (LIC) policies / Kisan Vikas Patra (KVP)</t>
  </si>
  <si>
    <t>State Government direct / guaranteed exposures</t>
  </si>
  <si>
    <t>Commercial Real Estate (CRE) — Acquisition, Development &amp; Construction (ADC) — 150% Risk Weight (RW) exposures</t>
  </si>
  <si>
    <t>Commercial Real Estate – Residential Housing (CRE-RH) — Acquisition, Development &amp; Construction (ADC)</t>
  </si>
  <si>
    <t>Other claims — Residential Real Estate</t>
  </si>
  <si>
    <t>Other claims — Commercial Real Estate</t>
  </si>
  <si>
    <t>DCCO-linked (Date of Commencement of Commercial Operations)</t>
  </si>
  <si>
    <t>Central Government guarantee schemes (e.g., Credit Guarantee Fund Trust for Micro &amp; Small Enterprises / CGTMSE)</t>
  </si>
  <si>
    <t>Common Equity Tier 1 (CET1) Capital Transitional Adjustment (Section U)</t>
  </si>
  <si>
    <t>Where ECL on transition (1-Apr-2027) exceeds existing Income Recognition, Asset Classification &amp; Provisioning (IRAC) provisions (31-Mar-2027), banks may add back a declining fraction of the post-tax shortfall to CET1 over 4 years.</t>
  </si>
  <si>
    <t>Formula: CET1 Add-Back = f × max(0, ECL₀ − IRAC₀) × (1 − Tax Rate), where f = phase-in fraction for the year</t>
  </si>
  <si>
    <t>• Add-back shall not be used to reduce Standardised Approach (SA) exposure amounts or leverage ratio exposure.</t>
  </si>
  <si>
    <t>• The transitional shortfall is netted against opening retained earnings, NOT routed through Profit &amp; Loss (P&amp;L).</t>
  </si>
  <si>
    <t>• Where fair value is not materially different from carrying amount, carrying amount is presumed to be the best evidence of fair value.</t>
  </si>
  <si>
    <t>Income Recognition, Asset Classification &amp; Provisioning (IRAC, Old) vs Expected Credit Loss (ECL, New 2026) — Side-by-Side</t>
  </si>
  <si>
    <t>Stage 1 / Stage 2 / Stage 3 + Purchased or Originated Credit-Impaired (POCI)</t>
  </si>
  <si>
    <t>Transitional Common Equity Tier 1 (CET1) add-back over 4 years</t>
  </si>
  <si>
    <t>Direct Profit &amp; Loss (P&amp;L) hit</t>
  </si>
  <si>
    <t>• Higher Day-1 provisioning: Stage 1 ECL applies on the entire performing book — a new cost absent under IRAC.</t>
  </si>
  <si>
    <t>• Common Equity Tier 1 (CET1) impact: Mitigated by the 4-year transitional relief, but banks with weak capital face pressure.</t>
  </si>
  <si>
    <t>• Pro-cyclicality: Downturns trigger mass Stage 1 → Stage 2 migrations, amplifying provision charges.</t>
  </si>
  <si>
    <t>3-stage model, 30 / 60-day Days Past Due (DPD) backstops, worked loan journey through stages</t>
  </si>
  <si>
    <t>Probability of Default × Loss Given Default × Exposure at Default × Discount Factor (PD × LGD × EAD × DF) worked example with prudential floor check</t>
  </si>
  <si>
    <t>Probability-weighted ECL (base / upside / downside scenarios)</t>
  </si>
  <si>
    <t>4-year phased Common Equity Tier 1 (CET1) add-back (80% → 60% → 40% → 20%)</t>
  </si>
  <si>
    <t>Income Recognition, Asset Classification &amp; Provisioning (IRAC) vs Expected Credit Loss (ECL) side-by-side + expected impact + special cases</t>
  </si>
  <si>
    <t>Comprehensive chapter-by-chapter notes from the RBI circular + glossary of all abbreviations</t>
  </si>
  <si>
    <t>Single-Loan Case Study — EIR Derivation, Amortisation &amp; ECL Across Stages</t>
  </si>
  <si>
    <t>Hypothetical ₹100 cr 5-year corporate term loan with upfront fee. Walks through EIR → amortisation → Stage 1/2/3 ECL → prudential floors → P&amp;L impact.</t>
  </si>
  <si>
    <t>1. LOAN TERMS &amp; INPUTS</t>
  </si>
  <si>
    <t>Principal disbursed (face value, ₹)</t>
  </si>
  <si>
    <t>Contractual coupon rate (annual)</t>
  </si>
  <si>
    <t>Tenor (years)</t>
  </si>
  <si>
    <t>Repayment structure</t>
  </si>
  <si>
    <t>Equal annual principal + interest on outstanding</t>
  </si>
  <si>
    <t>Upfront processing fee (deducted at disbursal, ₹)</t>
  </si>
  <si>
    <t>Net cash to borrower at t=0 (₹)</t>
  </si>
  <si>
    <t>2. EFFECTIVE INTEREST RATE (EIR) DERIVATION</t>
  </si>
  <si>
    <t>EIR is the rate that discounts the contractual cash flows back to the NET amount disbursed (B11). It captures the integral upfront fee.</t>
  </si>
  <si>
    <t>Opening Principal (₹)</t>
  </si>
  <si>
    <t>Principal Repaid (₹)</t>
  </si>
  <si>
    <t>Interest @ 10% (₹)</t>
  </si>
  <si>
    <t>Total Cash Flow (₹)</t>
  </si>
  <si>
    <t>Closing Principal (₹)</t>
  </si>
  <si>
    <t>(Disbursal)</t>
  </si>
  <si>
    <t>EIR (computed via IRR on cash flows)</t>
  </si>
  <si>
    <t>Contractual coupon rate</t>
  </si>
  <si>
    <t>EIR uplift over coupon (due to upfront fee)</t>
  </si>
  <si>
    <t>Insight: The ₹2 cr upfront fee is amortised through the EIR over the loan life rather than recognised at t=0.</t>
  </si>
  <si>
    <r>
      <t xml:space="preserve">Forward-looking 3-stage model (Stage 1 / Stage 2 / Stage 3) </t>
    </r>
    <r>
      <rPr>
        <b/>
        <i/>
        <u/>
        <sz val="22"/>
        <color rgb="FF0432FF"/>
        <rFont val="Aptos Narrow (Body)"/>
      </rPr>
      <t>replaces the incurred-loss approach.</t>
    </r>
    <r>
      <rPr>
        <sz val="22"/>
        <color theme="1"/>
        <rFont val="Aptos Narrow"/>
        <family val="2"/>
        <scheme val="minor"/>
      </rPr>
      <t xml:space="preserve"> The 90-day Non-Performing Asset (NPA) norm is retained alongside.</t>
    </r>
  </si>
  <si>
    <t>3. AMORTISED COST USING EIR (vs. CONTRACTUAL)</t>
  </si>
  <si>
    <t>Under EIR, interest income each year = Opening Amortised Cost × EIR. Difference vs. coupon interest is the fee amortisation.</t>
  </si>
  <si>
    <t>Opening Amortised Cost (₹)</t>
  </si>
  <si>
    <t>Interest @ EIR (₹)</t>
  </si>
  <si>
    <t>Cash Inflow (₹)</t>
  </si>
  <si>
    <t>Closing Amortised Cost (₹)</t>
  </si>
  <si>
    <t>Coupon Interest (₹)</t>
  </si>
  <si>
    <t>Fee Amortisation (₹)</t>
  </si>
  <si>
    <t>TOTAL</t>
  </si>
  <si>
    <t>Check: Total fee amortised = upfront fee</t>
  </si>
  <si>
    <t>4. ECL ASSUMPTIONS — PD / LGD / EAD</t>
  </si>
  <si>
    <t>EAD by year (= opening amortised cost; banks may use opening principal)</t>
  </si>
  <si>
    <t>Marginal PD (lifetime)</t>
  </si>
  <si>
    <t>LGD (secured)</t>
  </si>
  <si>
    <t>Discount Factor (EIR)</t>
  </si>
  <si>
    <t>5. STAGE-WISE ECL — SAME LOAN, THREE STATES OF THE WORLD</t>
  </si>
  <si>
    <t>STAGE 1 (no SICR) — 12-month ECL</t>
  </si>
  <si>
    <t>Model ECL = Year 1 only</t>
  </si>
  <si>
    <t>Floor: Corporate Stage 1 = 0.40% × EAD</t>
  </si>
  <si>
    <t>Reported Stage 1 ECL = MAX(model, floor)</t>
  </si>
  <si>
    <t>STAGE 2 (SICR has occurred at start of Year 1) — Lifetime ECL</t>
  </si>
  <si>
    <t>Model ECL = Sum across remaining lifetime</t>
  </si>
  <si>
    <t>Floor: Corporate Stage 2 = 5% × EAD</t>
  </si>
  <si>
    <t>Reported Stage 2 ECL = MAX(model, floor)</t>
  </si>
  <si>
    <t>STAGE 3 (NPA, end of Year 2; ₹6 cr secured / ₹2 cr unsecured assumed)</t>
  </si>
  <si>
    <t>Outstanding amortised cost at default (₹)</t>
  </si>
  <si>
    <t>Time in Stage 3 (years)</t>
  </si>
  <si>
    <t>Stage 3 floor (general, 0–1 yr): 25% sec / 40% unsec</t>
  </si>
  <si>
    <t>Bank's lifetime ECL model output (assumed, ₹)</t>
  </si>
  <si>
    <t>Reported Stage 3 ECL = MAX(model, floor)</t>
  </si>
  <si>
    <t>Note: Interest on Stage 3 must be recognised on CASH BASIS only — no further EIR accrual.</t>
  </si>
  <si>
    <t>Secured coverage ratio (assumed)</t>
  </si>
  <si>
    <t>Secured portion = ratio × outstanding</t>
  </si>
  <si>
    <t>6. P&amp;L IMPACT — Provisioning Cost as Loan Migrates</t>
  </si>
  <si>
    <t>Incremental Provision (₹)</t>
  </si>
  <si>
    <t>Tax Shield @ 25.2%</t>
  </si>
  <si>
    <t>Net P&amp;L Hit (₹)</t>
  </si>
  <si>
    <t>Origination → Stage 1</t>
  </si>
  <si>
    <t>Stage 1 → Stage 2 (SICR)</t>
  </si>
  <si>
    <t>Stage 2 → Stage 3 (Default)</t>
  </si>
  <si>
    <t>TOTAL CUMULATIVE</t>
  </si>
  <si>
    <t>7. KEY TAKEAWAYS</t>
  </si>
  <si>
    <t>• EIR (10.84%) &gt; coupon (10.00%) because the upfront fee is amortised across the loan life rather than booked Day 1.</t>
  </si>
  <si>
    <t>• Day-1 Stage 1 ECL is a NEW cost under the ECL framework — absent under IRAC. Even a healthy performing loan attracts a 12-month ECL provision.</t>
  </si>
  <si>
    <t>• SICR triggers a JUMP from 12-month to lifetime ECL — the largest single P&amp;L hit in the loan's life if SICR occurs early.</t>
  </si>
  <si>
    <t>• Stage 3 floors apply at the INDIVIDUAL ACCOUNT level and increase progressively with time in Stage 3 (25% sec / 40% unsec at 0–1 yr → 100% / 100% after 4 yrs).</t>
  </si>
  <si>
    <t>• Reported ECL is always MAX(bank's model, RBI floor). The floor is a regulatory backstop, not a cap.</t>
  </si>
  <si>
    <t>Hypothetical small commercial bank, ₹4,300 cr loan book. Each row shows EAD, EIR, stage, model ECL, applicable floor, reported ECL. Totals roll into bank P&amp;L and CET1 transitional add-back.</t>
  </si>
  <si>
    <t>1. LOAN PORTFOLIO</t>
  </si>
  <si>
    <t>Loan ID</t>
  </si>
  <si>
    <t>Borrower / Product</t>
  </si>
  <si>
    <t>EAD (₹ cr)</t>
  </si>
  <si>
    <t>Coupon</t>
  </si>
  <si>
    <t>EIR</t>
  </si>
  <si>
    <t>Time in S3 (yrs)</t>
  </si>
  <si>
    <t>Sec %</t>
  </si>
  <si>
    <t>PD (12-mo / lifetime)</t>
  </si>
  <si>
    <t>Model ECL (₹ cr)</t>
  </si>
  <si>
    <t>Floor % (S1/S2)</t>
  </si>
  <si>
    <t>Floor ECL (₹ cr)</t>
  </si>
  <si>
    <t>Reported ECL (₹ cr)</t>
  </si>
  <si>
    <t>ECL %</t>
  </si>
  <si>
    <t>L1</t>
  </si>
  <si>
    <t>ABC Manufacturing (Corporate)</t>
  </si>
  <si>
    <t>-</t>
  </si>
  <si>
    <t>L2</t>
  </si>
  <si>
    <t>PQR Realty (Corporate)</t>
  </si>
  <si>
    <t>L3</t>
  </si>
  <si>
    <t>Retail housing pool</t>
  </si>
  <si>
    <t>L4</t>
  </si>
  <si>
    <t>Unsecured retail (personal loans)</t>
  </si>
  <si>
    <t>L5</t>
  </si>
  <si>
    <t>Gold loan book</t>
  </si>
  <si>
    <t>L6</t>
  </si>
  <si>
    <t>XYZ Steel (Corporate — NPA)</t>
  </si>
  <si>
    <t>n/a (cash basis)</t>
  </si>
  <si>
    <t>lifetime</t>
  </si>
  <si>
    <t>S3 floor</t>
  </si>
  <si>
    <t>TOTALS</t>
  </si>
  <si>
    <t>Bank loan book</t>
  </si>
  <si>
    <t>2. STAGE-WISE BREAKDOWN</t>
  </si>
  <si>
    <t>Loans</t>
  </si>
  <si>
    <t>% of Book</t>
  </si>
  <si>
    <t>Coverage %</t>
  </si>
  <si>
    <t>3. CET1 TRANSITIONAL IMPACT (1-Apr-2027)</t>
  </si>
  <si>
    <t>Bank's existing IRAC provisions on 31-Mar-2027 (₹ cr)</t>
  </si>
  <si>
    <t>Opening ECL on 1-Apr-2027 (₹ cr)</t>
  </si>
  <si>
    <t>Gross transitional shortfall</t>
  </si>
  <si>
    <t>FY</t>
  </si>
  <si>
    <t>P&amp;L Hit (₹ cr)</t>
  </si>
  <si>
    <t>4. BANK-LEVEL SUMMARY DASHBOARD</t>
  </si>
  <si>
    <t>Loan book (EAD, ₹ cr)</t>
  </si>
  <si>
    <t>Total bank-level ECL (₹ cr)</t>
  </si>
  <si>
    <t>Coverage ratio (ECL / EAD)</t>
  </si>
  <si>
    <t>Stage 1 EAD (% of book)</t>
  </si>
  <si>
    <t>Stage 2 EAD (% of book)</t>
  </si>
  <si>
    <t>Stage 3 EAD (% of book) — GNPA proxy</t>
  </si>
  <si>
    <t>Provision Coverage Ratio (Stage 3 ECL / Stage 3 EAD)</t>
  </si>
  <si>
    <t>Day-1 transitional shortfall vs IRAC (₹ cr)</t>
  </si>
  <si>
    <t>Day-1 net P&amp;L hit FY28 (after CET1 relief, ₹ cr)</t>
  </si>
  <si>
    <t>5. KEY TAKEAWAYS</t>
  </si>
  <si>
    <t>• Stage 1 dominates the book by EAD (~78%) but contributes a small share of total ECL — the floor (0.25–1%) drives most Stage 1 provisions.</t>
  </si>
  <si>
    <t>• Stage 2 floor (5%) bites: PQR Realty's 5% floor (₹40 cr) overrides the bank's 3.4% model output — the floor adds ₹9.4 cr.</t>
  </si>
  <si>
    <t>• Stage 3 dominates ECL: a single ₹150 cr NPA (3.5% of book) generates 64% of total provisions due to the 73% S3 floor.</t>
  </si>
  <si>
    <t>• CET1 relief: 80% of the Day-1 shortfall is added back in FY28, smoothing the capital impact — only ~₹11 cr hits CET1 directly in Year 1.</t>
  </si>
  <si>
    <t>• By FY32, the entire shortfall is fully recognised in CET1; weak banks should plan capital management across the 4-year glide path.</t>
  </si>
  <si>
    <t>Single ₹100 cr corporate loan: EIR derivation from upfront fee, amortisation schedule, ECL across Stages 1/2/3, P&amp;L impact</t>
  </si>
  <si>
    <t>• Bills under Letter of Credit (LC): Not classified as Non-Performing Asset (NPA) even if other facilities of the borrower are NPA, unless LC documents are dishonoured and the borrower fails to make good.</t>
  </si>
  <si>
    <t>• Advances against term deposits / Life Insurance Corporation (LIC) policies / Kisan Vikas Patra (KVP) / National Savings Certificate (NSC): Exempt from NPA classification if margin ≥ 100% is maintained (except where NPA arises from borrower-level tagging).</t>
  </si>
  <si>
    <t>• Central Government guarantees: Classified as NPA only when the government repudiates the guarantee.</t>
  </si>
  <si>
    <t>• Co-Lending Arrangements (CLA): Borrower-level classification applies — if either Regulated Entity (RE) classifies the borrower as Special Mention Account (SMA) / NPA, the same applies to the other RE's CLA exposure. Information sharing must occur by end of next working day.</t>
  </si>
  <si>
    <t>The following instruments are NOT tested for SICR and do NOT require Stage 1 ECL:</t>
  </si>
  <si>
    <t>• Statutory Liquidity Ratio (SLR)-eligible investments</t>
  </si>
  <si>
    <t>• Direct claims on the Central Government</t>
  </si>
  <si>
    <t>• Exposures fully guaranteed by the Central Government</t>
  </si>
  <si>
    <t>• Exposures to foreign sovereigns / central banks / Multilateral Development Banks (MDBs) / Bank for International Settlements (BIS) / International Monetary Fund (IMF) attracting 0% risk weight</t>
  </si>
  <si>
    <t>• Stressed Assets Resolution: Additional provisioning per the Resolution of Stressed Assets Directions, 2025 — over and above the ECL floors shown.</t>
  </si>
  <si>
    <t>• Fraud Accounts: Full provisioning of the amount due IMMEDIATELY upon fraud detection (adjustable for eligible financial collateral) — supersedes the ageing-based Stage 3 floors.</t>
  </si>
  <si>
    <t>• Foreign Currency NPAs: Exchange-rate revaluation gains on NPA foreign currency loans must be channelled into additional provisioning (cannot be booked to P&amp;L).</t>
  </si>
  <si>
    <t>• Wilful Defaulters: Additional 5% provision OVER and ABOVE ECL for exposures to companies with directors on the wilful defaulter list.</t>
  </si>
  <si>
    <t>• Stage 3 Collateral Valuation: For exposures &gt; ₹7.5 cr, collateral must be valued at the time of classification and AT LEAST every 2 years (stock collateral: annually).</t>
  </si>
  <si>
    <t>• Default Loss Guarantee (DLG): May be considered in ECL across all stages, provided DLG is integral to loan terms and not separately recognised. ECL must be RECOMPUTED on each DLG invocation.</t>
  </si>
  <si>
    <t>• Floating / Countercyclical Provisions: May be utilised towards ECL provisioning.</t>
  </si>
  <si>
    <t>• ECL on Investments: Same product-category floors apply based on issuer category. Fair Value Through Profit &amp; Loss (FVTPL) non-performing instruments attract Stage 3 residual-category provisioning.</t>
  </si>
  <si>
    <t>• Simplified Approach (Annex 2): Available for trade and lease receivables — ALWAYS lifetime ECL via a provision matrix based on historical loss rates adjusted for forward-looking information.</t>
  </si>
  <si>
    <t>• Purchased or Originated Credit-Impaired (POCI) Assets: Always recognise interest on cash basis; use Credit-Adjusted Effective Interest Rate (EIR).</t>
  </si>
  <si>
    <t>Special Cases &amp; Exceptions — from the RBI ECL Directions 2026</t>
  </si>
  <si>
    <t>The standard ECL mechanics shown in Sheets 3–11 are subject to the following carve-outs. These exceptions may modify or override the standard result for specific exposures.</t>
  </si>
  <si>
    <t>1. NPA Classification — Exceptions (Chapter II)</t>
  </si>
  <si>
    <t>2. Significant Increase in Credit Risk (SICR) — Exemptions (Chapter III)</t>
  </si>
  <si>
    <t>3. Additional Provisions &amp; Special Cases (Chapter VII)</t>
  </si>
  <si>
    <t>Implication for the bank case (Sheet 11): If Loan L6 (XYZ Steel — Stage 3) involves directors flagged as wilful defaulters, an additional 5% over the ₹109.5 cr ECL would apply (≈ ₹7.5 cr extra). If any borrower exposure becomes a fraud account, the entire amount must be fully provisioned immediately, regardless of stage.</t>
  </si>
  <si>
    <t>Special cases &amp; exceptions from the circular: NPA carve-outs, SICR exemptions, fraud / wilful defaulter / POCI / DLG / simplified approach treatments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</si>
</sst>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
    <numFmt numFmtId="165" formatCode="0.0%"/>
    <numFmt numFmtId="166" formatCode="0.0000"/>
    <numFmt numFmtId="167" formatCode="\₹#,##0;[Red]\(\₹#,##0\)"/>
    <numFmt numFmtId="168" formatCode="0.0000%"/>
  </numFmts>
  <fonts count="41" x14ac:knownFonts="1">
    <font>
      <sz val="12"/>
      <color theme="1"/>
      <name val="Aptos Narrow"/>
      <family val="2"/>
      <scheme val="minor"/>
    </font>
    <font>
      <b/>
      <sz val="12"/>
      <color theme="1"/>
      <name val="Aptos Narrow"/>
      <family val="2"/>
      <scheme val="minor"/>
    </font>
    <font>
      <u/>
      <sz val="12"/>
      <color theme="10"/>
      <name val="Aptos Narrow"/>
      <family val="2"/>
      <scheme val="minor"/>
    </font>
    <font>
      <b/>
      <sz val="16"/>
      <color rgb="FFFFFFFF"/>
      <name val="Aptos Narrow"/>
      <family val="2"/>
      <scheme val="minor"/>
    </font>
    <font>
      <b/>
      <sz val="12"/>
      <color rgb="FFFFFFFF"/>
      <name val="Aptos Narrow"/>
      <family val="2"/>
      <scheme val="minor"/>
    </font>
    <font>
      <sz val="12"/>
      <color rgb="FFC00000"/>
      <name val="Aptos Narrow"/>
      <family val="2"/>
      <scheme val="minor"/>
    </font>
    <font>
      <b/>
      <sz val="22"/>
      <color rgb="FFFFFFFF"/>
      <name val="Aptos Narrow"/>
      <family val="2"/>
      <scheme val="minor"/>
    </font>
    <font>
      <sz val="22"/>
      <color theme="1"/>
      <name val="Aptos Narrow"/>
      <family val="2"/>
      <scheme val="minor"/>
    </font>
    <font>
      <i/>
      <sz val="22"/>
      <color rgb="FF1F3864"/>
      <name val="Aptos Narrow"/>
      <family val="2"/>
      <scheme val="minor"/>
    </font>
    <font>
      <b/>
      <sz val="22"/>
      <color theme="1"/>
      <name val="Aptos Narrow"/>
      <family val="2"/>
      <scheme val="minor"/>
    </font>
    <font>
      <sz val="22"/>
      <color rgb="FFC00000"/>
      <name val="Aptos Narrow"/>
      <family val="2"/>
      <scheme val="minor"/>
    </font>
    <font>
      <b/>
      <sz val="12"/>
      <color rgb="FF006100"/>
      <name val="Aptos Narrow"/>
      <family val="2"/>
      <scheme val="minor"/>
    </font>
    <font>
      <b/>
      <sz val="12"/>
      <color rgb="FF9C5700"/>
      <name val="Aptos Narrow"/>
      <family val="2"/>
      <scheme val="minor"/>
    </font>
    <font>
      <b/>
      <sz val="12"/>
      <color rgb="FF9C0006"/>
      <name val="Aptos Narrow"/>
      <family val="2"/>
      <scheme val="minor"/>
    </font>
    <font>
      <i/>
      <sz val="12"/>
      <color theme="1"/>
      <name val="Aptos Narrow"/>
      <family val="2"/>
      <scheme val="minor"/>
    </font>
    <font>
      <b/>
      <sz val="12"/>
      <color rgb="FFC00000"/>
      <name val="Aptos Narrow"/>
      <family val="2"/>
      <scheme val="minor"/>
    </font>
    <font>
      <b/>
      <i/>
      <sz val="22"/>
      <color theme="1"/>
      <name val="Aptos Narrow"/>
      <family val="2"/>
      <scheme val="minor"/>
    </font>
    <font>
      <i/>
      <sz val="22"/>
      <color theme="1"/>
      <name val="Aptos Narrow"/>
      <family val="2"/>
      <scheme val="minor"/>
    </font>
    <font>
      <sz val="22"/>
      <color rgb="FF0000FF"/>
      <name val="Aptos Narrow"/>
      <family val="2"/>
      <scheme val="minor"/>
    </font>
    <font>
      <b/>
      <sz val="22"/>
      <color rgb="FF006100"/>
      <name val="Aptos Narrow"/>
      <family val="2"/>
      <scheme val="minor"/>
    </font>
    <font>
      <b/>
      <sz val="22"/>
      <color rgb="FF9C5700"/>
      <name val="Aptos Narrow"/>
      <family val="2"/>
      <scheme val="minor"/>
    </font>
    <font>
      <sz val="22"/>
      <color rgb="FFFFFFFF"/>
      <name val="Aptos Narrow"/>
      <family val="2"/>
      <scheme val="minor"/>
    </font>
    <font>
      <b/>
      <u/>
      <sz val="12"/>
      <color rgb="FF0563C1"/>
      <name val="Aptos Narrow"/>
      <family val="2"/>
      <scheme val="minor"/>
    </font>
    <font>
      <i/>
      <sz val="22"/>
      <color rgb="FF525252"/>
      <name val="Aptos Narrow"/>
      <family val="2"/>
      <scheme val="minor"/>
    </font>
    <font>
      <b/>
      <u/>
      <sz val="22"/>
      <color rgb="FF0563C1"/>
      <name val="Aptos Narrow"/>
      <family val="2"/>
      <scheme val="minor"/>
    </font>
    <font>
      <b/>
      <sz val="13"/>
      <color rgb="FFFFFFFF"/>
      <name val="Aptos Narrow"/>
      <family val="2"/>
      <scheme val="minor"/>
    </font>
    <font>
      <b/>
      <sz val="20"/>
      <color rgb="FFFFFFFF"/>
      <name val="Aptos Narrow"/>
      <family val="2"/>
      <scheme val="minor"/>
    </font>
    <font>
      <sz val="20"/>
      <color theme="1"/>
      <name val="Aptos Narrow"/>
      <family val="2"/>
      <scheme val="minor"/>
    </font>
    <font>
      <b/>
      <u/>
      <sz val="20"/>
      <color rgb="FF0563C1"/>
      <name val="Aptos Narrow"/>
      <family val="2"/>
      <scheme val="minor"/>
    </font>
    <font>
      <i/>
      <sz val="20"/>
      <color rgb="FF385723"/>
      <name val="Aptos Narrow"/>
      <family val="2"/>
      <scheme val="minor"/>
    </font>
    <font>
      <i/>
      <sz val="20"/>
      <color rgb="FF525252"/>
      <name val="Aptos Narrow"/>
      <family val="2"/>
      <scheme val="minor"/>
    </font>
    <font>
      <sz val="20"/>
      <color rgb="FF0432FF"/>
      <name val="Aptos Narrow"/>
      <family val="2"/>
      <scheme val="minor"/>
    </font>
    <font>
      <b/>
      <i/>
      <u/>
      <sz val="22"/>
      <color rgb="FF0432FF"/>
      <name val="Aptos Narrow (Body)"/>
    </font>
    <font>
      <sz val="22"/>
      <color rgb="FF008000"/>
      <name val="Aptos Narrow"/>
      <family val="2"/>
      <scheme val="minor"/>
    </font>
    <font>
      <b/>
      <sz val="22"/>
      <color rgb="FF008000"/>
      <name val="Aptos Narrow"/>
      <family val="2"/>
      <scheme val="minor"/>
    </font>
    <font>
      <i/>
      <sz val="22"/>
      <color rgb="FF008000"/>
      <name val="Aptos Narrow"/>
      <family val="2"/>
      <scheme val="minor"/>
    </font>
    <font>
      <b/>
      <sz val="22"/>
      <color rgb="FF9C0006"/>
      <name val="Aptos Narrow"/>
      <family val="2"/>
      <scheme val="minor"/>
    </font>
    <font>
      <i/>
      <sz val="22"/>
      <color rgb="FFC00000"/>
      <name val="Aptos Narrow"/>
      <family val="2"/>
      <scheme val="minor"/>
    </font>
    <font>
      <b/>
      <sz val="22"/>
      <color rgb="FF0000FF"/>
      <name val="Aptos Narrow"/>
      <family val="2"/>
      <scheme val="minor"/>
    </font>
    <font>
      <b/>
      <sz val="22"/>
      <color rgb="FF000000"/>
      <name val="Aptos Narrow"/>
      <family val="2"/>
      <scheme val="minor"/>
    </font>
    <font>
      <u/>
      <sz val="22"/>
      <color theme="10"/>
      <name val="Aptos Narrow"/>
      <family val="2"/>
      <scheme val="minor"/>
    </font>
  </fonts>
  <fills count="16">
    <fill>
      <patternFill patternType="none"/>
    </fill>
    <fill>
      <patternFill patternType="gray125"/>
    </fill>
    <fill>
      <patternFill patternType="solid">
        <fgColor rgb="FF1F3864"/>
        <bgColor indexed="64"/>
      </patternFill>
    </fill>
    <fill>
      <patternFill patternType="solid">
        <fgColor rgb="FFD9E1F2"/>
        <bgColor indexed="64"/>
      </patternFill>
    </fill>
    <fill>
      <patternFill patternType="solid">
        <fgColor rgb="FFC6EFCE"/>
        <bgColor indexed="64"/>
      </patternFill>
    </fill>
    <fill>
      <patternFill patternType="solid">
        <fgColor rgb="FFFFEB9C"/>
        <bgColor indexed="64"/>
      </patternFill>
    </fill>
    <fill>
      <patternFill patternType="solid">
        <fgColor rgb="FFFFC7CE"/>
        <bgColor indexed="64"/>
      </patternFill>
    </fill>
    <fill>
      <patternFill patternType="solid">
        <fgColor rgb="FFE2EFDA"/>
        <bgColor indexed="64"/>
      </patternFill>
    </fill>
    <fill>
      <patternFill patternType="solid">
        <fgColor rgb="FFFFF2CC"/>
        <bgColor indexed="64"/>
      </patternFill>
    </fill>
    <fill>
      <patternFill patternType="solid">
        <fgColor rgb="FFFCE4D6"/>
        <bgColor indexed="64"/>
      </patternFill>
    </fill>
    <fill>
      <patternFill patternType="solid">
        <fgColor rgb="FFFFFF00"/>
        <bgColor indexed="64"/>
      </patternFill>
    </fill>
    <fill>
      <patternFill patternType="solid">
        <fgColor rgb="FFC00000"/>
        <bgColor indexed="64"/>
      </patternFill>
    </fill>
    <fill>
      <patternFill patternType="solid">
        <fgColor rgb="FF385723"/>
        <bgColor indexed="64"/>
      </patternFill>
    </fill>
    <fill>
      <patternFill patternType="solid">
        <fgColor rgb="FF0070C0"/>
        <bgColor indexed="64"/>
      </patternFill>
    </fill>
    <fill>
      <patternFill patternType="solid">
        <fgColor rgb="FF00B050"/>
        <bgColor indexed="64"/>
      </patternFill>
    </fill>
    <fill>
      <patternFill patternType="solid">
        <fgColor rgb="FF7030A0"/>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s>
  <cellStyleXfs count="2">
    <xf numFmtId="0" fontId="0" fillId="0" borderId="0"/>
    <xf numFmtId="0" fontId="2" fillId="0" borderId="0" applyNumberFormat="0" applyFill="0" applyBorder="0" applyAlignment="0" applyProtection="0"/>
  </cellStyleXfs>
  <cellXfs count="183">
    <xf numFmtId="0" fontId="0" fillId="0" borderId="0" xfId="0"/>
    <xf numFmtId="0" fontId="7" fillId="0" borderId="0" xfId="0" applyFont="1"/>
    <xf numFmtId="0" fontId="9" fillId="0" borderId="0" xfId="0" applyFont="1"/>
    <xf numFmtId="0" fontId="6" fillId="2" borderId="1" xfId="0" applyFont="1" applyFill="1" applyBorder="1"/>
    <xf numFmtId="15" fontId="7" fillId="0" borderId="1" xfId="0" applyNumberFormat="1" applyFont="1" applyBorder="1"/>
    <xf numFmtId="0" fontId="7" fillId="0" borderId="1" xfId="0" applyFont="1" applyBorder="1"/>
    <xf numFmtId="0" fontId="11" fillId="4" borderId="1" xfId="0" applyFont="1" applyFill="1" applyBorder="1" applyAlignment="1">
      <alignment horizontal="center" wrapText="1"/>
    </xf>
    <xf numFmtId="0" fontId="12" fillId="5" borderId="1" xfId="0" applyFont="1" applyFill="1" applyBorder="1" applyAlignment="1">
      <alignment horizontal="center" wrapText="1"/>
    </xf>
    <xf numFmtId="0" fontId="13" fillId="6" borderId="1" xfId="0" applyFont="1" applyFill="1" applyBorder="1" applyAlignment="1">
      <alignment horizontal="center" wrapText="1"/>
    </xf>
    <xf numFmtId="0" fontId="0" fillId="0" borderId="0" xfId="0" applyAlignment="1">
      <alignment wrapText="1"/>
    </xf>
    <xf numFmtId="0" fontId="14" fillId="0" borderId="1" xfId="0" applyFont="1" applyBorder="1" applyAlignment="1">
      <alignment horizontal="center" wrapText="1"/>
    </xf>
    <xf numFmtId="0" fontId="0" fillId="0" borderId="1" xfId="0" applyBorder="1" applyAlignment="1">
      <alignment wrapText="1"/>
    </xf>
    <xf numFmtId="0" fontId="1" fillId="7" borderId="1" xfId="0" applyFont="1" applyFill="1" applyBorder="1" applyAlignment="1">
      <alignment wrapText="1"/>
    </xf>
    <xf numFmtId="0" fontId="1" fillId="8" borderId="1" xfId="0" applyFont="1" applyFill="1" applyBorder="1" applyAlignment="1">
      <alignment wrapText="1"/>
    </xf>
    <xf numFmtId="0" fontId="1" fillId="9" borderId="1" xfId="0" applyFont="1" applyFill="1" applyBorder="1" applyAlignment="1">
      <alignment wrapText="1"/>
    </xf>
    <xf numFmtId="0" fontId="15" fillId="0" borderId="1" xfId="0" applyFont="1" applyBorder="1" applyAlignment="1">
      <alignment wrapText="1"/>
    </xf>
    <xf numFmtId="0" fontId="1" fillId="0" borderId="1" xfId="0" applyFont="1" applyBorder="1" applyAlignment="1">
      <alignment wrapText="1"/>
    </xf>
    <xf numFmtId="0" fontId="4" fillId="2" borderId="1" xfId="0" applyFont="1" applyFill="1" applyBorder="1" applyAlignment="1">
      <alignment wrapText="1"/>
    </xf>
    <xf numFmtId="0" fontId="0" fillId="0" borderId="1" xfId="0" applyBorder="1" applyAlignment="1">
      <alignment horizontal="center" wrapText="1"/>
    </xf>
    <xf numFmtId="15" fontId="0" fillId="0" borderId="1" xfId="0" applyNumberFormat="1" applyBorder="1" applyAlignment="1">
      <alignment wrapText="1"/>
    </xf>
    <xf numFmtId="0" fontId="0" fillId="4" borderId="1" xfId="0" applyFill="1" applyBorder="1" applyAlignment="1">
      <alignment horizontal="center" wrapText="1"/>
    </xf>
    <xf numFmtId="0" fontId="0" fillId="5" borderId="1" xfId="0" applyFill="1" applyBorder="1" applyAlignment="1">
      <alignment horizontal="center" wrapText="1"/>
    </xf>
    <xf numFmtId="0" fontId="0" fillId="6" borderId="1" xfId="0" applyFill="1" applyBorder="1" applyAlignment="1">
      <alignment horizontal="center" wrapText="1"/>
    </xf>
    <xf numFmtId="0" fontId="5" fillId="0" borderId="1" xfId="0" applyFont="1" applyBorder="1" applyAlignment="1">
      <alignment wrapText="1"/>
    </xf>
    <xf numFmtId="0" fontId="18" fillId="0" borderId="0" xfId="0" applyFont="1"/>
    <xf numFmtId="164" fontId="18" fillId="0" borderId="0" xfId="0" applyNumberFormat="1" applyFont="1"/>
    <xf numFmtId="165" fontId="18" fillId="0" borderId="0" xfId="0" applyNumberFormat="1" applyFont="1"/>
    <xf numFmtId="10" fontId="18" fillId="0" borderId="0" xfId="0" applyNumberFormat="1" applyFont="1"/>
    <xf numFmtId="0" fontId="7" fillId="0" borderId="1" xfId="0" applyFont="1" applyBorder="1" applyAlignment="1">
      <alignment horizontal="center"/>
    </xf>
    <xf numFmtId="10" fontId="18" fillId="0" borderId="1" xfId="0" applyNumberFormat="1" applyFont="1" applyBorder="1"/>
    <xf numFmtId="165" fontId="7" fillId="0" borderId="1" xfId="0" applyNumberFormat="1" applyFont="1" applyBorder="1"/>
    <xf numFmtId="164" fontId="7" fillId="0" borderId="1" xfId="0" applyNumberFormat="1" applyFont="1" applyBorder="1"/>
    <xf numFmtId="166" fontId="7" fillId="0" borderId="1" xfId="0" applyNumberFormat="1" applyFont="1" applyBorder="1"/>
    <xf numFmtId="164" fontId="9" fillId="7" borderId="0" xfId="0" applyNumberFormat="1" applyFont="1" applyFill="1"/>
    <xf numFmtId="164" fontId="9" fillId="8" borderId="0" xfId="0" applyNumberFormat="1" applyFont="1" applyFill="1"/>
    <xf numFmtId="164" fontId="10" fillId="0" borderId="1" xfId="0" applyNumberFormat="1" applyFont="1" applyBorder="1"/>
    <xf numFmtId="164" fontId="9" fillId="10" borderId="1" xfId="0" applyNumberFormat="1" applyFont="1" applyFill="1" applyBorder="1"/>
    <xf numFmtId="0" fontId="7" fillId="10" borderId="0" xfId="0" applyFont="1" applyFill="1"/>
    <xf numFmtId="0" fontId="7" fillId="4" borderId="1" xfId="0" applyFont="1" applyFill="1" applyBorder="1"/>
    <xf numFmtId="9" fontId="18" fillId="0" borderId="1" xfId="0" applyNumberFormat="1" applyFont="1" applyBorder="1"/>
    <xf numFmtId="0" fontId="7" fillId="8" borderId="1" xfId="0" applyFont="1" applyFill="1" applyBorder="1"/>
    <xf numFmtId="0" fontId="7" fillId="6" borderId="1" xfId="0" applyFont="1" applyFill="1" applyBorder="1"/>
    <xf numFmtId="0" fontId="9" fillId="0" borderId="1" xfId="0" applyFont="1" applyBorder="1"/>
    <xf numFmtId="9" fontId="9" fillId="0" borderId="1" xfId="0" applyNumberFormat="1" applyFont="1" applyBorder="1"/>
    <xf numFmtId="0" fontId="7" fillId="0" borderId="1" xfId="0" applyFont="1" applyBorder="1" applyAlignment="1">
      <alignment wrapText="1"/>
    </xf>
    <xf numFmtId="10" fontId="7" fillId="0" borderId="1" xfId="0" applyNumberFormat="1" applyFont="1" applyBorder="1"/>
    <xf numFmtId="0" fontId="7" fillId="9" borderId="1" xfId="0" applyFont="1" applyFill="1" applyBorder="1"/>
    <xf numFmtId="10" fontId="7" fillId="9" borderId="1" xfId="0" applyNumberFormat="1" applyFont="1" applyFill="1" applyBorder="1"/>
    <xf numFmtId="0" fontId="17" fillId="0" borderId="1" xfId="0" applyFont="1" applyBorder="1" applyAlignment="1">
      <alignment horizontal="center"/>
    </xf>
    <xf numFmtId="0" fontId="21" fillId="2" borderId="1" xfId="0" applyFont="1" applyFill="1" applyBorder="1"/>
    <xf numFmtId="0" fontId="7" fillId="4" borderId="1" xfId="0" applyFont="1" applyFill="1" applyBorder="1" applyAlignment="1">
      <alignment horizontal="center"/>
    </xf>
    <xf numFmtId="164" fontId="18" fillId="0" borderId="1" xfId="0" applyNumberFormat="1" applyFont="1" applyBorder="1"/>
    <xf numFmtId="0" fontId="7" fillId="5" borderId="1" xfId="0" applyFont="1" applyFill="1" applyBorder="1" applyAlignment="1">
      <alignment horizontal="center"/>
    </xf>
    <xf numFmtId="0" fontId="7" fillId="0" borderId="1" xfId="0" applyFont="1" applyBorder="1" applyAlignment="1">
      <alignment horizontal="center" wrapText="1"/>
    </xf>
    <xf numFmtId="9" fontId="7" fillId="0" borderId="1" xfId="0" applyNumberFormat="1" applyFont="1" applyBorder="1"/>
    <xf numFmtId="9" fontId="7" fillId="9" borderId="1" xfId="0" applyNumberFormat="1" applyFont="1" applyFill="1" applyBorder="1"/>
    <xf numFmtId="164" fontId="9" fillId="0" borderId="1" xfId="0" applyNumberFormat="1" applyFont="1" applyBorder="1"/>
    <xf numFmtId="164" fontId="7" fillId="9" borderId="1" xfId="0" applyNumberFormat="1" applyFont="1" applyFill="1" applyBorder="1"/>
    <xf numFmtId="164" fontId="9" fillId="9" borderId="1" xfId="0" applyNumberFormat="1" applyFont="1" applyFill="1" applyBorder="1"/>
    <xf numFmtId="165" fontId="7" fillId="9" borderId="1" xfId="0" applyNumberFormat="1" applyFont="1" applyFill="1" applyBorder="1"/>
    <xf numFmtId="3" fontId="18" fillId="0" borderId="1" xfId="0" applyNumberFormat="1" applyFont="1" applyBorder="1"/>
    <xf numFmtId="3" fontId="9" fillId="0" borderId="1" xfId="0" applyNumberFormat="1" applyFont="1" applyBorder="1"/>
    <xf numFmtId="165" fontId="18" fillId="0" borderId="1" xfId="0" applyNumberFormat="1" applyFont="1" applyBorder="1"/>
    <xf numFmtId="3" fontId="9" fillId="10" borderId="1" xfId="0" applyNumberFormat="1" applyFont="1" applyFill="1" applyBorder="1"/>
    <xf numFmtId="16" fontId="7" fillId="0" borderId="1" xfId="0" applyNumberFormat="1" applyFont="1" applyBorder="1" applyAlignment="1">
      <alignment horizontal="center"/>
    </xf>
    <xf numFmtId="3" fontId="7" fillId="0" borderId="1" xfId="0" applyNumberFormat="1" applyFont="1" applyBorder="1"/>
    <xf numFmtId="3" fontId="10" fillId="0" borderId="1" xfId="0" applyNumberFormat="1" applyFont="1" applyBorder="1"/>
    <xf numFmtId="0" fontId="6" fillId="2" borderId="1" xfId="0" applyFont="1" applyFill="1" applyBorder="1" applyAlignment="1">
      <alignment wrapText="1"/>
    </xf>
    <xf numFmtId="0" fontId="7" fillId="0" borderId="0" xfId="0" applyFont="1" applyAlignment="1">
      <alignment wrapText="1"/>
    </xf>
    <xf numFmtId="0" fontId="22" fillId="0" borderId="0" xfId="1" applyFont="1"/>
    <xf numFmtId="0" fontId="23" fillId="0" borderId="0" xfId="0" applyFont="1"/>
    <xf numFmtId="0" fontId="6" fillId="2" borderId="1" xfId="0" applyFont="1" applyFill="1" applyBorder="1" applyAlignment="1">
      <alignment horizontal="center"/>
    </xf>
    <xf numFmtId="0" fontId="24" fillId="0" borderId="1" xfId="1" applyFont="1" applyBorder="1"/>
    <xf numFmtId="0" fontId="25" fillId="12" borderId="0" xfId="0" applyFont="1" applyFill="1" applyAlignment="1">
      <alignment vertical="top" wrapText="1"/>
    </xf>
    <xf numFmtId="0" fontId="26" fillId="12" borderId="0" xfId="0" applyFont="1" applyFill="1" applyAlignment="1">
      <alignment vertical="top" wrapText="1"/>
    </xf>
    <xf numFmtId="0" fontId="27" fillId="0" borderId="0" xfId="0" applyFont="1"/>
    <xf numFmtId="0" fontId="28" fillId="0" borderId="0" xfId="1" applyFont="1"/>
    <xf numFmtId="0" fontId="29" fillId="0" borderId="0" xfId="0" applyFont="1" applyAlignment="1">
      <alignment vertical="top" wrapText="1"/>
    </xf>
    <xf numFmtId="0" fontId="27" fillId="0" borderId="0" xfId="0" applyFont="1" applyAlignment="1">
      <alignment vertical="top" wrapText="1"/>
    </xf>
    <xf numFmtId="0" fontId="30" fillId="0" borderId="0" xfId="0" applyFont="1" applyAlignment="1">
      <alignment vertical="top" wrapText="1"/>
    </xf>
    <xf numFmtId="0" fontId="31" fillId="0" borderId="0" xfId="0" applyFont="1" applyAlignment="1">
      <alignment vertical="top" wrapText="1"/>
    </xf>
    <xf numFmtId="0" fontId="9" fillId="0" borderId="0" xfId="0" applyFont="1" applyAlignment="1">
      <alignment wrapText="1"/>
    </xf>
    <xf numFmtId="0" fontId="7" fillId="0" borderId="2" xfId="0" applyFont="1" applyBorder="1"/>
    <xf numFmtId="0" fontId="17" fillId="0" borderId="0" xfId="0" applyFont="1" applyAlignment="1">
      <alignment wrapText="1"/>
    </xf>
    <xf numFmtId="0" fontId="18" fillId="0" borderId="0" xfId="0" applyFont="1" applyAlignment="1">
      <alignment wrapText="1"/>
    </xf>
    <xf numFmtId="164" fontId="18" fillId="0" borderId="0" xfId="0" applyNumberFormat="1" applyFont="1" applyAlignment="1">
      <alignment wrapText="1"/>
    </xf>
    <xf numFmtId="10" fontId="18" fillId="0" borderId="0" xfId="0" applyNumberFormat="1" applyFont="1" applyAlignment="1">
      <alignment wrapText="1"/>
    </xf>
    <xf numFmtId="164" fontId="9" fillId="0" borderId="0" xfId="0" applyNumberFormat="1" applyFont="1" applyAlignment="1">
      <alignment wrapText="1"/>
    </xf>
    <xf numFmtId="165" fontId="18" fillId="0" borderId="0" xfId="0" applyNumberFormat="1" applyFont="1" applyAlignment="1">
      <alignment wrapText="1"/>
    </xf>
    <xf numFmtId="0" fontId="6" fillId="13" borderId="1" xfId="0" applyFont="1" applyFill="1" applyBorder="1" applyAlignment="1">
      <alignment wrapText="1"/>
    </xf>
    <xf numFmtId="0" fontId="17" fillId="0" borderId="1" xfId="0" applyFont="1" applyBorder="1" applyAlignment="1">
      <alignment wrapText="1"/>
    </xf>
    <xf numFmtId="167" fontId="18" fillId="0" borderId="1" xfId="0" applyNumberFormat="1" applyFont="1" applyBorder="1" applyAlignment="1">
      <alignment wrapText="1"/>
    </xf>
    <xf numFmtId="164" fontId="7" fillId="0" borderId="1" xfId="0" applyNumberFormat="1" applyFont="1" applyBorder="1" applyAlignment="1">
      <alignment wrapText="1"/>
    </xf>
    <xf numFmtId="168" fontId="9" fillId="10" borderId="0" xfId="0" applyNumberFormat="1" applyFont="1" applyFill="1" applyAlignment="1">
      <alignment wrapText="1"/>
    </xf>
    <xf numFmtId="168" fontId="7" fillId="0" borderId="0" xfId="0" applyNumberFormat="1" applyFont="1" applyAlignment="1">
      <alignment wrapText="1"/>
    </xf>
    <xf numFmtId="168" fontId="17" fillId="0" borderId="0" xfId="0" applyNumberFormat="1" applyFont="1" applyAlignment="1">
      <alignment wrapText="1"/>
    </xf>
    <xf numFmtId="164" fontId="33" fillId="0" borderId="1" xfId="0" applyNumberFormat="1" applyFont="1" applyBorder="1" applyAlignment="1">
      <alignment wrapText="1"/>
    </xf>
    <xf numFmtId="0" fontId="9" fillId="0" borderId="1" xfId="0" applyFont="1" applyBorder="1" applyAlignment="1">
      <alignment wrapText="1"/>
    </xf>
    <xf numFmtId="164" fontId="9" fillId="3" borderId="1" xfId="0" applyNumberFormat="1" applyFont="1" applyFill="1" applyBorder="1" applyAlignment="1">
      <alignment wrapText="1"/>
    </xf>
    <xf numFmtId="164" fontId="9" fillId="0" borderId="1" xfId="0" applyNumberFormat="1" applyFont="1" applyBorder="1" applyAlignment="1">
      <alignment wrapText="1"/>
    </xf>
    <xf numFmtId="164" fontId="34" fillId="3" borderId="1" xfId="0" applyNumberFormat="1" applyFont="1" applyFill="1" applyBorder="1" applyAlignment="1">
      <alignment wrapText="1"/>
    </xf>
    <xf numFmtId="164" fontId="35" fillId="0" borderId="0" xfId="0" applyNumberFormat="1" applyFont="1" applyAlignment="1">
      <alignment wrapText="1"/>
    </xf>
    <xf numFmtId="10" fontId="18" fillId="0" borderId="1" xfId="0" applyNumberFormat="1" applyFont="1" applyBorder="1" applyAlignment="1">
      <alignment wrapText="1"/>
    </xf>
    <xf numFmtId="165" fontId="18" fillId="0" borderId="1" xfId="0" applyNumberFormat="1" applyFont="1" applyBorder="1" applyAlignment="1">
      <alignment wrapText="1"/>
    </xf>
    <xf numFmtId="166" fontId="7" fillId="0" borderId="1" xfId="0" applyNumberFormat="1" applyFont="1" applyBorder="1" applyAlignment="1">
      <alignment wrapText="1"/>
    </xf>
    <xf numFmtId="164" fontId="7" fillId="0" borderId="0" xfId="0" applyNumberFormat="1" applyFont="1" applyAlignment="1">
      <alignment wrapText="1"/>
    </xf>
    <xf numFmtId="164" fontId="10" fillId="0" borderId="0" xfId="0" applyNumberFormat="1" applyFont="1" applyAlignment="1">
      <alignment wrapText="1"/>
    </xf>
    <xf numFmtId="164" fontId="9" fillId="10" borderId="0" xfId="0" applyNumberFormat="1" applyFont="1" applyFill="1" applyAlignment="1">
      <alignment wrapText="1"/>
    </xf>
    <xf numFmtId="9" fontId="18" fillId="0" borderId="0" xfId="0" applyNumberFormat="1" applyFont="1" applyAlignment="1">
      <alignment wrapText="1"/>
    </xf>
    <xf numFmtId="164" fontId="38" fillId="10" borderId="0" xfId="0" applyNumberFormat="1" applyFont="1" applyFill="1" applyAlignment="1">
      <alignment wrapText="1"/>
    </xf>
    <xf numFmtId="0" fontId="37" fillId="0" borderId="0" xfId="0" applyFont="1" applyAlignment="1">
      <alignment wrapText="1"/>
    </xf>
    <xf numFmtId="0" fontId="7" fillId="4" borderId="1" xfId="0" applyFont="1" applyFill="1" applyBorder="1" applyAlignment="1">
      <alignment wrapText="1"/>
    </xf>
    <xf numFmtId="164" fontId="10" fillId="0" borderId="1" xfId="0" applyNumberFormat="1" applyFont="1" applyBorder="1" applyAlignment="1">
      <alignment wrapText="1"/>
    </xf>
    <xf numFmtId="0" fontId="7" fillId="5" borderId="1" xfId="0" applyFont="1" applyFill="1" applyBorder="1" applyAlignment="1">
      <alignment wrapText="1"/>
    </xf>
    <xf numFmtId="0" fontId="7" fillId="6" borderId="1" xfId="0" applyFont="1" applyFill="1" applyBorder="1" applyAlignment="1">
      <alignment wrapText="1"/>
    </xf>
    <xf numFmtId="164" fontId="9" fillId="10" borderId="1" xfId="0" applyNumberFormat="1" applyFont="1" applyFill="1" applyBorder="1" applyAlignment="1">
      <alignment wrapText="1"/>
    </xf>
    <xf numFmtId="0" fontId="6" fillId="14" borderId="1" xfId="0" applyFont="1" applyFill="1" applyBorder="1" applyAlignment="1">
      <alignment wrapText="1"/>
    </xf>
    <xf numFmtId="3" fontId="18" fillId="0" borderId="1" xfId="0" applyNumberFormat="1" applyFont="1" applyBorder="1" applyAlignment="1">
      <alignment wrapText="1"/>
    </xf>
    <xf numFmtId="0" fontId="18" fillId="4" borderId="1" xfId="0" applyFont="1" applyFill="1" applyBorder="1" applyAlignment="1">
      <alignment horizontal="center" wrapText="1"/>
    </xf>
    <xf numFmtId="9" fontId="18" fillId="0" borderId="1" xfId="0" applyNumberFormat="1" applyFont="1" applyBorder="1" applyAlignment="1">
      <alignment wrapText="1"/>
    </xf>
    <xf numFmtId="4" fontId="7" fillId="0" borderId="1" xfId="0" applyNumberFormat="1" applyFont="1" applyBorder="1" applyAlignment="1">
      <alignment wrapText="1"/>
    </xf>
    <xf numFmtId="10" fontId="7" fillId="0" borderId="1" xfId="0" applyNumberFormat="1" applyFont="1" applyBorder="1" applyAlignment="1">
      <alignment wrapText="1"/>
    </xf>
    <xf numFmtId="4" fontId="9" fillId="0" borderId="1" xfId="0" applyNumberFormat="1" applyFont="1" applyBorder="1" applyAlignment="1">
      <alignment wrapText="1"/>
    </xf>
    <xf numFmtId="0" fontId="18" fillId="5" borderId="1" xfId="0" applyFont="1" applyFill="1" applyBorder="1" applyAlignment="1">
      <alignment horizontal="center" wrapText="1"/>
    </xf>
    <xf numFmtId="0" fontId="10" fillId="0" borderId="1" xfId="0" applyFont="1" applyBorder="1" applyAlignment="1">
      <alignment wrapText="1"/>
    </xf>
    <xf numFmtId="0" fontId="10" fillId="0" borderId="1" xfId="0" applyFont="1" applyBorder="1" applyAlignment="1">
      <alignment horizontal="center" wrapText="1"/>
    </xf>
    <xf numFmtId="0" fontId="18" fillId="6" borderId="1" xfId="0" applyFont="1" applyFill="1" applyBorder="1" applyAlignment="1">
      <alignment horizontal="center" wrapText="1"/>
    </xf>
    <xf numFmtId="0" fontId="18" fillId="0" borderId="1" xfId="0" applyFont="1" applyBorder="1" applyAlignment="1">
      <alignment horizontal="center" wrapText="1"/>
    </xf>
    <xf numFmtId="0" fontId="17" fillId="0" borderId="1" xfId="0" applyFont="1" applyBorder="1" applyAlignment="1">
      <alignment horizontal="center" wrapText="1"/>
    </xf>
    <xf numFmtId="3" fontId="6" fillId="2" borderId="1" xfId="0" applyNumberFormat="1" applyFont="1" applyFill="1" applyBorder="1" applyAlignment="1">
      <alignment wrapText="1"/>
    </xf>
    <xf numFmtId="4" fontId="6" fillId="2" borderId="1" xfId="0" applyNumberFormat="1" applyFont="1" applyFill="1" applyBorder="1" applyAlignment="1">
      <alignment wrapText="1"/>
    </xf>
    <xf numFmtId="4" fontId="39" fillId="10" borderId="1" xfId="0" applyNumberFormat="1" applyFont="1" applyFill="1" applyBorder="1" applyAlignment="1">
      <alignment wrapText="1"/>
    </xf>
    <xf numFmtId="10" fontId="9" fillId="10" borderId="1" xfId="0" applyNumberFormat="1" applyFont="1" applyFill="1" applyBorder="1" applyAlignment="1">
      <alignment wrapText="1"/>
    </xf>
    <xf numFmtId="3" fontId="7" fillId="0" borderId="1" xfId="0" applyNumberFormat="1" applyFont="1" applyBorder="1" applyAlignment="1">
      <alignment wrapText="1"/>
    </xf>
    <xf numFmtId="165" fontId="7" fillId="0" borderId="1" xfId="0" applyNumberFormat="1" applyFont="1" applyBorder="1" applyAlignment="1">
      <alignment wrapText="1"/>
    </xf>
    <xf numFmtId="0" fontId="9" fillId="0" borderId="1" xfId="0" applyFont="1" applyBorder="1" applyAlignment="1">
      <alignment horizontal="center" wrapText="1"/>
    </xf>
    <xf numFmtId="3" fontId="9" fillId="0" borderId="1" xfId="0" applyNumberFormat="1" applyFont="1" applyBorder="1" applyAlignment="1">
      <alignment wrapText="1"/>
    </xf>
    <xf numFmtId="165" fontId="9" fillId="0" borderId="1" xfId="0" applyNumberFormat="1" applyFont="1" applyBorder="1" applyAlignment="1">
      <alignment wrapText="1"/>
    </xf>
    <xf numFmtId="4" fontId="9" fillId="10" borderId="1" xfId="0" applyNumberFormat="1" applyFont="1" applyFill="1" applyBorder="1" applyAlignment="1">
      <alignment wrapText="1"/>
    </xf>
    <xf numFmtId="10" fontId="9" fillId="0" borderId="1" xfId="0" applyNumberFormat="1" applyFont="1" applyBorder="1" applyAlignment="1">
      <alignment wrapText="1"/>
    </xf>
    <xf numFmtId="4" fontId="18" fillId="0" borderId="1" xfId="0" applyNumberFormat="1" applyFont="1" applyBorder="1" applyAlignment="1">
      <alignment wrapText="1"/>
    </xf>
    <xf numFmtId="9" fontId="7" fillId="0" borderId="1" xfId="0" applyNumberFormat="1" applyFont="1" applyBorder="1" applyAlignment="1">
      <alignment wrapText="1"/>
    </xf>
    <xf numFmtId="4" fontId="10" fillId="0" borderId="1" xfId="0" applyNumberFormat="1" applyFont="1" applyBorder="1" applyAlignment="1">
      <alignment wrapText="1"/>
    </xf>
    <xf numFmtId="165" fontId="10" fillId="0" borderId="1" xfId="0" applyNumberFormat="1" applyFont="1" applyBorder="1" applyAlignment="1">
      <alignment wrapText="1"/>
    </xf>
    <xf numFmtId="0" fontId="7" fillId="0" borderId="2" xfId="0" applyFont="1" applyBorder="1" applyAlignment="1">
      <alignment horizontal="center"/>
    </xf>
    <xf numFmtId="0" fontId="24" fillId="0" borderId="2" xfId="1" applyFont="1" applyBorder="1"/>
    <xf numFmtId="0" fontId="2" fillId="0" borderId="1" xfId="1" applyBorder="1"/>
    <xf numFmtId="0" fontId="40" fillId="0" borderId="1" xfId="1" applyFont="1" applyBorder="1"/>
    <xf numFmtId="0" fontId="7" fillId="0" borderId="0" xfId="0" applyFont="1" applyAlignment="1">
      <alignment vertical="top" wrapText="1"/>
    </xf>
    <xf numFmtId="0" fontId="6" fillId="11" borderId="0" xfId="0" applyFont="1" applyFill="1"/>
    <xf numFmtId="0" fontId="23" fillId="0" borderId="0" xfId="0" applyFont="1"/>
    <xf numFmtId="0" fontId="23" fillId="0" borderId="1" xfId="0" applyFont="1" applyBorder="1"/>
    <xf numFmtId="0" fontId="7" fillId="0" borderId="0" xfId="0" applyFont="1"/>
    <xf numFmtId="0" fontId="10" fillId="0" borderId="0" xfId="0" applyFont="1"/>
    <xf numFmtId="0" fontId="9" fillId="3" borderId="0" xfId="0" applyFont="1" applyFill="1"/>
    <xf numFmtId="0" fontId="6" fillId="2" borderId="0" xfId="0" applyFont="1" applyFill="1"/>
    <xf numFmtId="0" fontId="8" fillId="0" borderId="0" xfId="0" applyFont="1"/>
    <xf numFmtId="0" fontId="3" fillId="2" borderId="0" xfId="0" applyFont="1" applyFill="1" applyAlignment="1">
      <alignment wrapText="1"/>
    </xf>
    <xf numFmtId="0" fontId="6" fillId="2" borderId="0" xfId="0" applyFont="1" applyFill="1" applyAlignment="1">
      <alignment wrapText="1"/>
    </xf>
    <xf numFmtId="0" fontId="1" fillId="3" borderId="0" xfId="0" applyFont="1" applyFill="1" applyAlignment="1">
      <alignment wrapText="1"/>
    </xf>
    <xf numFmtId="0" fontId="0" fillId="0" borderId="0" xfId="0" applyAlignment="1">
      <alignment horizontal="left" vertical="top" wrapText="1"/>
    </xf>
    <xf numFmtId="0" fontId="17" fillId="0" borderId="0" xfId="0" applyFont="1"/>
    <xf numFmtId="0" fontId="3" fillId="2" borderId="0" xfId="0" applyFont="1" applyFill="1"/>
    <xf numFmtId="0" fontId="16" fillId="0" borderId="0" xfId="0" applyFont="1"/>
    <xf numFmtId="0" fontId="19" fillId="4" borderId="0" xfId="0" applyFont="1" applyFill="1"/>
    <xf numFmtId="0" fontId="20" fillId="5" borderId="0" xfId="0" applyFont="1" applyFill="1"/>
    <xf numFmtId="0" fontId="17" fillId="0" borderId="0" xfId="0" applyFont="1" applyAlignment="1">
      <alignment vertical="top" wrapText="1"/>
    </xf>
    <xf numFmtId="0" fontId="7" fillId="0" borderId="0" xfId="0" applyFont="1" applyAlignment="1">
      <alignment wrapText="1"/>
    </xf>
    <xf numFmtId="0" fontId="9" fillId="3" borderId="0" xfId="0" applyFont="1" applyFill="1" applyAlignment="1">
      <alignment wrapText="1"/>
    </xf>
    <xf numFmtId="0" fontId="36" fillId="6" borderId="0" xfId="0" applyFont="1" applyFill="1" applyAlignment="1">
      <alignment wrapText="1"/>
    </xf>
    <xf numFmtId="0" fontId="37" fillId="0" borderId="0" xfId="0" applyFont="1" applyAlignment="1">
      <alignment wrapText="1"/>
    </xf>
    <xf numFmtId="0" fontId="25" fillId="13" borderId="0" xfId="0" applyFont="1" applyFill="1" applyAlignment="1">
      <alignment wrapText="1"/>
    </xf>
    <xf numFmtId="0" fontId="23" fillId="0" borderId="0" xfId="0" applyFont="1" applyAlignment="1">
      <alignment wrapText="1"/>
    </xf>
    <xf numFmtId="0" fontId="17" fillId="0" borderId="0" xfId="0" applyFont="1" applyAlignment="1">
      <alignment wrapText="1"/>
    </xf>
    <xf numFmtId="0" fontId="19" fillId="4" borderId="0" xfId="0" applyFont="1" applyFill="1" applyAlignment="1">
      <alignment wrapText="1"/>
    </xf>
    <xf numFmtId="0" fontId="20" fillId="5" borderId="0" xfId="0" applyFont="1" applyFill="1" applyAlignment="1">
      <alignment wrapText="1"/>
    </xf>
    <xf numFmtId="0" fontId="6" fillId="13" borderId="0" xfId="0" applyFont="1" applyFill="1" applyAlignment="1">
      <alignment wrapText="1"/>
    </xf>
    <xf numFmtId="0" fontId="25" fillId="14" borderId="0" xfId="0" applyFont="1" applyFill="1" applyAlignment="1">
      <alignment wrapText="1"/>
    </xf>
    <xf numFmtId="0" fontId="6" fillId="14" borderId="0" xfId="0" applyFont="1" applyFill="1" applyAlignment="1">
      <alignment wrapText="1"/>
    </xf>
    <xf numFmtId="0" fontId="8" fillId="8" borderId="0" xfId="0" applyFont="1" applyFill="1" applyAlignment="1">
      <alignment vertical="top" wrapText="1" indent="1"/>
    </xf>
    <xf numFmtId="0" fontId="7" fillId="0" borderId="0" xfId="0" applyFont="1" applyAlignment="1">
      <alignment vertical="top" wrapText="1" indent="1"/>
    </xf>
    <xf numFmtId="0" fontId="6" fillId="15" borderId="0" xfId="0" applyFont="1" applyFill="1" applyAlignment="1">
      <alignment vertical="top" wrapText="1"/>
    </xf>
    <xf numFmtId="0" fontId="6" fillId="15" borderId="0" xfId="0" applyFont="1" applyFill="1" applyAlignment="1">
      <alignment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5C0A4F34-3B29-A348-BB5D-AD5A7487EBE8}">
  <we:reference id="wa200009404" version="1.0.0.8" store="en-US" storeType="OMEX"/>
  <we:alternateReferences>
    <we:reference id="WA200009404" version="1.0.0.8" store="" storeType="OMEX"/>
  </we:alternateReferences>
  <we:properties>
    <we:property name="claude.fileId" value="&quot;9a3defe1-9280-4686-86fc-7d0f76ccb7ae&quot;"/>
  </we:properties>
  <we:bindings/>
  <we:snapshot xmlns:r="http://schemas.openxmlformats.org/officeDocument/2006/relationships"/>
</we:webextension>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BC2634-57A2-2D42-B955-E35F498C1A9E}">
  <sheetPr>
    <tabColor rgb="FFC00000"/>
  </sheetPr>
  <dimension ref="A1:C17"/>
  <sheetViews>
    <sheetView tabSelected="1" workbookViewId="0">
      <selection activeCell="B18" sqref="B18"/>
    </sheetView>
  </sheetViews>
  <sheetFormatPr baseColWidth="10" defaultRowHeight="29" x14ac:dyDescent="0.35"/>
  <cols>
    <col min="1" max="1" width="8.33203125" style="1" customWidth="1"/>
    <col min="2" max="2" width="33.33203125" style="1" customWidth="1"/>
    <col min="3" max="3" width="80" style="1" customWidth="1"/>
    <col min="4" max="16384" width="10.83203125" style="1"/>
  </cols>
  <sheetData>
    <row r="1" spans="1:3" ht="32" customHeight="1" x14ac:dyDescent="0.35">
      <c r="A1" s="149" t="s">
        <v>242</v>
      </c>
      <c r="B1" s="149"/>
      <c r="C1" s="149"/>
    </row>
    <row r="2" spans="1:3" x14ac:dyDescent="0.35">
      <c r="A2" s="150" t="s">
        <v>243</v>
      </c>
      <c r="B2" s="150"/>
      <c r="C2" s="150"/>
    </row>
    <row r="4" spans="1:3" x14ac:dyDescent="0.35">
      <c r="A4" s="71" t="s">
        <v>105</v>
      </c>
      <c r="B4" s="3" t="s">
        <v>244</v>
      </c>
      <c r="C4" s="3" t="s">
        <v>245</v>
      </c>
    </row>
    <row r="5" spans="1:3" x14ac:dyDescent="0.35">
      <c r="A5" s="28">
        <v>1</v>
      </c>
      <c r="B5" s="72" t="str">
        <f>HYPERLINK("#'1. Overview'!A1","1. Overview")</f>
        <v>1. Overview</v>
      </c>
      <c r="C5" s="5" t="s">
        <v>246</v>
      </c>
    </row>
    <row r="6" spans="1:3" x14ac:dyDescent="0.35">
      <c r="A6" s="28">
        <v>2</v>
      </c>
      <c r="B6" s="72" t="str">
        <f>HYPERLINK("#'2. Stages &amp; SICR'!A1","2. Stages &amp; SICR")</f>
        <v>2. Stages &amp; SICR</v>
      </c>
      <c r="C6" s="5" t="s">
        <v>421</v>
      </c>
    </row>
    <row r="7" spans="1:3" x14ac:dyDescent="0.35">
      <c r="A7" s="28">
        <v>3</v>
      </c>
      <c r="B7" s="72" t="str">
        <f>HYPERLINK("#'3. ECL Calculation'!A1","3. ECL Calculation")</f>
        <v>3. ECL Calculation</v>
      </c>
      <c r="C7" s="5" t="s">
        <v>422</v>
      </c>
    </row>
    <row r="8" spans="1:3" x14ac:dyDescent="0.35">
      <c r="A8" s="28">
        <v>4</v>
      </c>
      <c r="B8" s="72" t="str">
        <f>HYPERLINK("#'4. Scenarios'!A1","4. Scenarios")</f>
        <v>4. Scenarios</v>
      </c>
      <c r="C8" s="5" t="s">
        <v>423</v>
      </c>
    </row>
    <row r="9" spans="1:3" x14ac:dyDescent="0.35">
      <c r="A9" s="28">
        <v>5</v>
      </c>
      <c r="B9" s="72" t="str">
        <f>HYPERLINK("#'5. Floors S1-S2'!A1","5. Floors S1-S2")</f>
        <v>5. Floors S1-S2</v>
      </c>
      <c r="C9" s="5" t="s">
        <v>247</v>
      </c>
    </row>
    <row r="10" spans="1:3" x14ac:dyDescent="0.35">
      <c r="A10" s="28">
        <v>6</v>
      </c>
      <c r="B10" s="72" t="str">
        <f>HYPERLINK("#'6. Floors S3'!A1","6. Floors S3")</f>
        <v>6. Floors S3</v>
      </c>
      <c r="C10" s="5" t="s">
        <v>248</v>
      </c>
    </row>
    <row r="11" spans="1:3" x14ac:dyDescent="0.35">
      <c r="A11" s="28">
        <v>7</v>
      </c>
      <c r="B11" s="72" t="str">
        <f>HYPERLINK("#'7. CET1 Transition'!A1","7. CET1 Transition")</f>
        <v>7. CET1 Transition</v>
      </c>
      <c r="C11" s="5" t="s">
        <v>424</v>
      </c>
    </row>
    <row r="12" spans="1:3" x14ac:dyDescent="0.35">
      <c r="A12" s="28">
        <v>8</v>
      </c>
      <c r="B12" s="72" t="str">
        <f>HYPERLINK("#'8. IRAC vs ECL'!A1","8. IRAC vs ECL")</f>
        <v>8. IRAC vs ECL</v>
      </c>
      <c r="C12" s="5" t="s">
        <v>425</v>
      </c>
    </row>
    <row r="13" spans="1:3" x14ac:dyDescent="0.35">
      <c r="A13" s="144">
        <v>9</v>
      </c>
      <c r="B13" s="145" t="str">
        <f>HYPERLINK("#'9. Detailed Notes'!A1","9. Detailed Notes")</f>
        <v>9. Detailed Notes</v>
      </c>
      <c r="C13" s="82" t="s">
        <v>426</v>
      </c>
    </row>
    <row r="14" spans="1:3" x14ac:dyDescent="0.35">
      <c r="A14" s="5">
        <v>10</v>
      </c>
      <c r="B14" s="147" t="str">
        <f>HYPERLINK("#'10. Loan Deep-Dive'!A1","10. Loan Deep-Dive")</f>
        <v>10. Loan Deep-Dive</v>
      </c>
      <c r="C14" s="5" t="s">
        <v>556</v>
      </c>
    </row>
    <row r="15" spans="1:3" x14ac:dyDescent="0.35">
      <c r="A15" s="151">
        <v>11</v>
      </c>
      <c r="B15" s="151"/>
      <c r="C15" s="151"/>
    </row>
    <row r="16" spans="1:3" x14ac:dyDescent="0.35">
      <c r="A16" s="5">
        <v>12</v>
      </c>
      <c r="B16" s="146" t="str">
        <f>HYPERLINK("#'12. Exceptions'!A1","12. Exceptions")</f>
        <v>12. Exceptions</v>
      </c>
      <c r="C16" s="5" t="s">
        <v>582</v>
      </c>
    </row>
    <row r="17" spans="1:1" x14ac:dyDescent="0.35">
      <c r="A17" s="70" t="s">
        <v>249</v>
      </c>
    </row>
  </sheetData>
  <mergeCells count="3">
    <mergeCell ref="A1:C1"/>
    <mergeCell ref="A2:C2"/>
    <mergeCell ref="A15:C15"/>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A88688-6EC9-BC48-982E-9F134D0887D8}">
  <sheetPr>
    <tabColor rgb="FF1F3864"/>
  </sheetPr>
  <dimension ref="A1:H30"/>
  <sheetViews>
    <sheetView workbookViewId="0">
      <selection activeCell="A14" sqref="A14"/>
    </sheetView>
  </sheetViews>
  <sheetFormatPr baseColWidth="10" defaultRowHeight="29" x14ac:dyDescent="0.35"/>
  <cols>
    <col min="1" max="1" width="63.33203125" style="1" customWidth="1"/>
    <col min="2" max="2" width="96.6640625" style="1" customWidth="1"/>
    <col min="3" max="16384" width="10.83203125" style="1"/>
  </cols>
  <sheetData>
    <row r="1" spans="1:8" x14ac:dyDescent="0.35">
      <c r="A1" s="155" t="s">
        <v>0</v>
      </c>
      <c r="B1" s="155"/>
      <c r="H1" s="69" t="str">
        <f>HYPERLINK("#'0. TOC'!A1","← Back to TOC")</f>
        <v>← Back to TOC</v>
      </c>
    </row>
    <row r="2" spans="1:8" x14ac:dyDescent="0.35">
      <c r="A2" s="156" t="s">
        <v>1</v>
      </c>
      <c r="B2" s="156"/>
    </row>
    <row r="4" spans="1:8" x14ac:dyDescent="0.35">
      <c r="A4" s="154" t="s">
        <v>2</v>
      </c>
      <c r="B4" s="154"/>
    </row>
    <row r="5" spans="1:8" ht="90" customHeight="1" x14ac:dyDescent="0.35">
      <c r="A5" s="2" t="s">
        <v>367</v>
      </c>
      <c r="B5" s="68" t="s">
        <v>449</v>
      </c>
    </row>
    <row r="6" spans="1:8" ht="60" x14ac:dyDescent="0.35">
      <c r="A6" s="81" t="s">
        <v>3</v>
      </c>
      <c r="B6" s="68" t="s">
        <v>4</v>
      </c>
    </row>
    <row r="7" spans="1:8" ht="60" customHeight="1" x14ac:dyDescent="0.35">
      <c r="A7" s="2" t="s">
        <v>368</v>
      </c>
      <c r="B7" s="68" t="s">
        <v>5</v>
      </c>
    </row>
    <row r="9" spans="1:8" x14ac:dyDescent="0.35">
      <c r="A9" s="154" t="s">
        <v>6</v>
      </c>
      <c r="B9" s="154"/>
    </row>
    <row r="10" spans="1:8" x14ac:dyDescent="0.35">
      <c r="A10" s="3" t="s">
        <v>7</v>
      </c>
      <c r="B10" s="3" t="s">
        <v>8</v>
      </c>
    </row>
    <row r="11" spans="1:8" x14ac:dyDescent="0.35">
      <c r="A11" s="4">
        <v>46139</v>
      </c>
      <c r="B11" s="5" t="s">
        <v>9</v>
      </c>
    </row>
    <row r="12" spans="1:8" x14ac:dyDescent="0.35">
      <c r="A12" s="4">
        <v>46478</v>
      </c>
      <c r="B12" s="5" t="s">
        <v>10</v>
      </c>
    </row>
    <row r="13" spans="1:8" x14ac:dyDescent="0.35">
      <c r="A13" s="4">
        <v>46568</v>
      </c>
      <c r="B13" s="5" t="s">
        <v>11</v>
      </c>
    </row>
    <row r="14" spans="1:8" x14ac:dyDescent="0.35">
      <c r="A14" s="4">
        <v>46752</v>
      </c>
      <c r="B14" s="5" t="s">
        <v>12</v>
      </c>
    </row>
    <row r="15" spans="1:8" x14ac:dyDescent="0.35">
      <c r="A15" s="4">
        <v>46843</v>
      </c>
      <c r="B15" s="5" t="s">
        <v>13</v>
      </c>
    </row>
    <row r="16" spans="1:8" x14ac:dyDescent="0.35">
      <c r="A16" s="4">
        <v>47573</v>
      </c>
      <c r="B16" s="5" t="s">
        <v>14</v>
      </c>
    </row>
    <row r="17" spans="1:2" x14ac:dyDescent="0.35">
      <c r="A17" s="4">
        <v>47938</v>
      </c>
      <c r="B17" s="5" t="s">
        <v>15</v>
      </c>
    </row>
    <row r="19" spans="1:2" x14ac:dyDescent="0.35">
      <c r="A19" s="154" t="s">
        <v>16</v>
      </c>
      <c r="B19" s="154"/>
    </row>
    <row r="20" spans="1:2" x14ac:dyDescent="0.35">
      <c r="A20" s="152" t="s">
        <v>369</v>
      </c>
      <c r="B20" s="152"/>
    </row>
    <row r="21" spans="1:2" x14ac:dyDescent="0.35">
      <c r="A21" s="153" t="s">
        <v>370</v>
      </c>
      <c r="B21" s="153"/>
    </row>
    <row r="23" spans="1:2" x14ac:dyDescent="0.35">
      <c r="A23" s="154" t="s">
        <v>17</v>
      </c>
      <c r="B23" s="154"/>
    </row>
    <row r="24" spans="1:2" x14ac:dyDescent="0.35">
      <c r="A24" s="152" t="s">
        <v>371</v>
      </c>
      <c r="B24" s="152"/>
    </row>
    <row r="25" spans="1:2" x14ac:dyDescent="0.35">
      <c r="A25" s="152" t="s">
        <v>372</v>
      </c>
      <c r="B25" s="152"/>
    </row>
    <row r="26" spans="1:2" x14ac:dyDescent="0.35">
      <c r="A26" s="152" t="s">
        <v>373</v>
      </c>
      <c r="B26" s="152"/>
    </row>
    <row r="27" spans="1:2" x14ac:dyDescent="0.35">
      <c r="A27" s="152" t="s">
        <v>374</v>
      </c>
      <c r="B27" s="152"/>
    </row>
    <row r="28" spans="1:2" x14ac:dyDescent="0.35">
      <c r="A28" s="152" t="s">
        <v>18</v>
      </c>
      <c r="B28" s="152"/>
    </row>
    <row r="29" spans="1:2" x14ac:dyDescent="0.35">
      <c r="A29" s="152" t="s">
        <v>375</v>
      </c>
      <c r="B29" s="152"/>
    </row>
    <row r="30" spans="1:2" x14ac:dyDescent="0.35">
      <c r="A30" s="152" t="s">
        <v>376</v>
      </c>
      <c r="B30" s="152"/>
    </row>
  </sheetData>
  <mergeCells count="15">
    <mergeCell ref="A20:B20"/>
    <mergeCell ref="A1:B1"/>
    <mergeCell ref="A2:B2"/>
    <mergeCell ref="A4:B4"/>
    <mergeCell ref="A9:B9"/>
    <mergeCell ref="A19:B19"/>
    <mergeCell ref="A28:B28"/>
    <mergeCell ref="A29:B29"/>
    <mergeCell ref="A30:B30"/>
    <mergeCell ref="A21:B21"/>
    <mergeCell ref="A23:B23"/>
    <mergeCell ref="A24:B24"/>
    <mergeCell ref="A25:B25"/>
    <mergeCell ref="A26:B26"/>
    <mergeCell ref="A27:B2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09EEC-A4ED-5046-881B-E418636B0C29}">
  <sheetPr>
    <tabColor rgb="FF2E75B6"/>
  </sheetPr>
  <dimension ref="A1:H27"/>
  <sheetViews>
    <sheetView zoomScale="155" zoomScaleNormal="155" workbookViewId="0">
      <selection activeCell="C25" sqref="C25"/>
    </sheetView>
  </sheetViews>
  <sheetFormatPr baseColWidth="10" defaultRowHeight="16" x14ac:dyDescent="0.2"/>
  <cols>
    <col min="1" max="1" width="21.6640625" style="9" customWidth="1"/>
    <col min="2" max="2" width="33.33203125" style="9" customWidth="1"/>
    <col min="3" max="3" width="36.6640625" style="9" customWidth="1"/>
    <col min="4" max="4" width="15" style="9" customWidth="1"/>
    <col min="5" max="5" width="20" style="9" customWidth="1"/>
    <col min="6" max="6" width="23.33203125" style="9" customWidth="1"/>
  </cols>
  <sheetData>
    <row r="1" spans="1:8" ht="29" x14ac:dyDescent="0.35">
      <c r="A1" s="157" t="s">
        <v>377</v>
      </c>
      <c r="B1" s="158"/>
      <c r="C1" s="158"/>
      <c r="D1" s="158"/>
      <c r="E1" s="158"/>
      <c r="F1" s="158"/>
      <c r="H1" s="69" t="str">
        <f>HYPERLINK("#'0. TOC'!A1","← Back to TOC")</f>
        <v>← Back to TOC</v>
      </c>
    </row>
    <row r="3" spans="1:8" ht="17" x14ac:dyDescent="0.2">
      <c r="A3" s="6" t="s">
        <v>19</v>
      </c>
      <c r="B3" s="7" t="s">
        <v>20</v>
      </c>
      <c r="C3" s="8" t="s">
        <v>21</v>
      </c>
    </row>
    <row r="4" spans="1:8" ht="17" x14ac:dyDescent="0.2">
      <c r="A4" s="10" t="s">
        <v>22</v>
      </c>
      <c r="B4" s="10" t="s">
        <v>23</v>
      </c>
      <c r="C4" s="10" t="s">
        <v>24</v>
      </c>
    </row>
    <row r="5" spans="1:8" ht="51" x14ac:dyDescent="0.2">
      <c r="A5" s="11" t="s">
        <v>378</v>
      </c>
      <c r="B5" s="11" t="s">
        <v>25</v>
      </c>
      <c r="C5" s="11" t="s">
        <v>379</v>
      </c>
    </row>
    <row r="6" spans="1:8" ht="17" x14ac:dyDescent="0.2">
      <c r="A6" s="12" t="s">
        <v>26</v>
      </c>
      <c r="B6" s="13" t="s">
        <v>27</v>
      </c>
      <c r="C6" s="14" t="s">
        <v>27</v>
      </c>
    </row>
    <row r="7" spans="1:8" ht="34" x14ac:dyDescent="0.2">
      <c r="A7" s="11" t="s">
        <v>28</v>
      </c>
      <c r="B7" s="11" t="s">
        <v>28</v>
      </c>
      <c r="C7" s="15" t="s">
        <v>29</v>
      </c>
    </row>
    <row r="8" spans="1:8" ht="17" x14ac:dyDescent="0.2">
      <c r="A8" s="11" t="s">
        <v>30</v>
      </c>
      <c r="B8" s="11" t="s">
        <v>30</v>
      </c>
      <c r="C8" s="16" t="s">
        <v>31</v>
      </c>
    </row>
    <row r="10" spans="1:8" x14ac:dyDescent="0.2">
      <c r="A10" s="159" t="s">
        <v>32</v>
      </c>
      <c r="B10" s="159"/>
      <c r="C10" s="159"/>
      <c r="D10" s="159"/>
      <c r="E10" s="159"/>
      <c r="F10" s="159"/>
    </row>
    <row r="11" spans="1:8" ht="51" customHeight="1" x14ac:dyDescent="0.2">
      <c r="A11" s="160" t="s">
        <v>380</v>
      </c>
      <c r="B11" s="160"/>
      <c r="C11" s="160"/>
    </row>
    <row r="12" spans="1:8" ht="36" customHeight="1" x14ac:dyDescent="0.2">
      <c r="A12" s="160" t="s">
        <v>381</v>
      </c>
      <c r="B12" s="160"/>
      <c r="C12" s="160"/>
    </row>
    <row r="13" spans="1:8" ht="28" customHeight="1" x14ac:dyDescent="0.2">
      <c r="A13" s="160" t="s">
        <v>382</v>
      </c>
      <c r="B13" s="160"/>
      <c r="C13" s="160"/>
    </row>
    <row r="15" spans="1:8" x14ac:dyDescent="0.2">
      <c r="A15" s="159" t="s">
        <v>383</v>
      </c>
      <c r="B15" s="159"/>
      <c r="C15" s="159"/>
      <c r="D15" s="159"/>
      <c r="E15" s="159"/>
      <c r="F15" s="159"/>
    </row>
    <row r="16" spans="1:8" ht="17" x14ac:dyDescent="0.2">
      <c r="A16" s="17" t="s">
        <v>33</v>
      </c>
      <c r="B16" s="17" t="s">
        <v>384</v>
      </c>
      <c r="C16" s="17" t="s">
        <v>34</v>
      </c>
    </row>
    <row r="17" spans="1:6" ht="34" x14ac:dyDescent="0.2">
      <c r="A17" s="11" t="s">
        <v>35</v>
      </c>
      <c r="B17" s="18" t="s">
        <v>36</v>
      </c>
      <c r="C17" s="11" t="s">
        <v>37</v>
      </c>
    </row>
    <row r="18" spans="1:6" ht="51" x14ac:dyDescent="0.2">
      <c r="A18" s="11" t="s">
        <v>385</v>
      </c>
      <c r="B18" s="18" t="s">
        <v>386</v>
      </c>
      <c r="C18" s="11" t="s">
        <v>38</v>
      </c>
    </row>
    <row r="20" spans="1:6" x14ac:dyDescent="0.2">
      <c r="A20" s="159" t="s">
        <v>39</v>
      </c>
      <c r="B20" s="159"/>
      <c r="C20" s="159"/>
      <c r="D20" s="159"/>
      <c r="E20" s="159"/>
      <c r="F20" s="159"/>
    </row>
    <row r="21" spans="1:6" ht="17" x14ac:dyDescent="0.2">
      <c r="A21" s="17" t="s">
        <v>7</v>
      </c>
      <c r="B21" s="17" t="s">
        <v>40</v>
      </c>
      <c r="C21" s="17" t="s">
        <v>41</v>
      </c>
      <c r="D21" s="17" t="s">
        <v>42</v>
      </c>
      <c r="E21" s="17" t="s">
        <v>43</v>
      </c>
      <c r="F21" s="17" t="s">
        <v>44</v>
      </c>
    </row>
    <row r="22" spans="1:6" ht="34" x14ac:dyDescent="0.2">
      <c r="A22" s="19">
        <v>46478</v>
      </c>
      <c r="B22" s="11" t="s">
        <v>45</v>
      </c>
      <c r="C22" s="18">
        <v>0</v>
      </c>
      <c r="D22" s="20" t="s">
        <v>46</v>
      </c>
      <c r="E22" s="11" t="s">
        <v>26</v>
      </c>
      <c r="F22" s="11" t="s">
        <v>47</v>
      </c>
    </row>
    <row r="23" spans="1:6" ht="17" x14ac:dyDescent="0.2">
      <c r="A23" s="19">
        <v>46568</v>
      </c>
      <c r="B23" s="11" t="s">
        <v>48</v>
      </c>
      <c r="C23" s="18">
        <v>0</v>
      </c>
      <c r="D23" s="20" t="s">
        <v>46</v>
      </c>
      <c r="E23" s="11" t="s">
        <v>26</v>
      </c>
      <c r="F23" s="11" t="s">
        <v>47</v>
      </c>
    </row>
    <row r="24" spans="1:6" ht="17" x14ac:dyDescent="0.2">
      <c r="A24" s="19">
        <v>46614</v>
      </c>
      <c r="B24" s="11" t="s">
        <v>49</v>
      </c>
      <c r="C24" s="18">
        <v>35</v>
      </c>
      <c r="D24" s="21" t="s">
        <v>50</v>
      </c>
      <c r="E24" s="11" t="s">
        <v>27</v>
      </c>
      <c r="F24" s="11" t="s">
        <v>47</v>
      </c>
    </row>
    <row r="25" spans="1:6" ht="17" x14ac:dyDescent="0.2">
      <c r="A25" s="19">
        <v>46711</v>
      </c>
      <c r="B25" s="11" t="s">
        <v>51</v>
      </c>
      <c r="C25" s="18">
        <v>95</v>
      </c>
      <c r="D25" s="22" t="s">
        <v>52</v>
      </c>
      <c r="E25" s="11" t="s">
        <v>27</v>
      </c>
      <c r="F25" s="23" t="s">
        <v>53</v>
      </c>
    </row>
    <row r="26" spans="1:6" ht="17" x14ac:dyDescent="0.2">
      <c r="A26" s="19">
        <v>46853</v>
      </c>
      <c r="B26" s="11" t="s">
        <v>54</v>
      </c>
      <c r="C26" s="18">
        <v>0</v>
      </c>
      <c r="D26" s="21" t="s">
        <v>50</v>
      </c>
      <c r="E26" s="11" t="s">
        <v>27</v>
      </c>
      <c r="F26" s="11" t="s">
        <v>47</v>
      </c>
    </row>
    <row r="27" spans="1:6" ht="34" x14ac:dyDescent="0.2">
      <c r="A27" s="19">
        <v>47036</v>
      </c>
      <c r="B27" s="11" t="s">
        <v>55</v>
      </c>
      <c r="C27" s="18">
        <v>0</v>
      </c>
      <c r="D27" s="20" t="s">
        <v>46</v>
      </c>
      <c r="E27" s="11" t="s">
        <v>26</v>
      </c>
      <c r="F27" s="11" t="s">
        <v>47</v>
      </c>
    </row>
  </sheetData>
  <mergeCells count="7">
    <mergeCell ref="A1:F1"/>
    <mergeCell ref="A10:F10"/>
    <mergeCell ref="A15:F15"/>
    <mergeCell ref="A20:F20"/>
    <mergeCell ref="A11:C11"/>
    <mergeCell ref="A12:C12"/>
    <mergeCell ref="A13:C13"/>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303DC4-216E-B342-AA41-8882E1287521}">
  <sheetPr>
    <tabColor rgb="FF548235"/>
  </sheetPr>
  <dimension ref="A1:H42"/>
  <sheetViews>
    <sheetView workbookViewId="0">
      <selection activeCell="A31" sqref="A31"/>
    </sheetView>
  </sheetViews>
  <sheetFormatPr baseColWidth="10" defaultRowHeight="29" x14ac:dyDescent="0.35"/>
  <cols>
    <col min="1" max="1" width="75" style="1" customWidth="1"/>
    <col min="2" max="2" width="34.6640625" style="1" customWidth="1"/>
    <col min="3" max="3" width="21.6640625" style="1" customWidth="1"/>
    <col min="4" max="4" width="27.6640625" style="1" customWidth="1"/>
    <col min="5" max="5" width="25.6640625" style="1" customWidth="1"/>
    <col min="6" max="6" width="21.6640625" style="1" customWidth="1"/>
    <col min="7" max="16384" width="10.83203125" style="1"/>
  </cols>
  <sheetData>
    <row r="1" spans="1:8" x14ac:dyDescent="0.35">
      <c r="A1" s="162" t="s">
        <v>387</v>
      </c>
      <c r="B1" s="155"/>
      <c r="C1" s="155"/>
      <c r="D1" s="155"/>
      <c r="E1" s="155"/>
      <c r="F1" s="155"/>
      <c r="H1" s="69" t="str">
        <f>HYPERLINK("#'0. TOC'!A1","← Back to TOC")</f>
        <v>← Back to TOC</v>
      </c>
    </row>
    <row r="3" spans="1:8" x14ac:dyDescent="0.35">
      <c r="A3" s="163" t="s">
        <v>388</v>
      </c>
      <c r="B3" s="163"/>
      <c r="C3" s="163"/>
      <c r="D3" s="163"/>
      <c r="E3" s="163"/>
      <c r="F3" s="163"/>
    </row>
    <row r="4" spans="1:8" x14ac:dyDescent="0.35">
      <c r="A4" s="161" t="s">
        <v>389</v>
      </c>
      <c r="B4" s="161"/>
      <c r="C4" s="161"/>
      <c r="D4" s="161"/>
      <c r="E4" s="161"/>
      <c r="F4" s="161"/>
    </row>
    <row r="6" spans="1:8" x14ac:dyDescent="0.35">
      <c r="A6" s="154" t="s">
        <v>56</v>
      </c>
      <c r="B6" s="154"/>
      <c r="C6" s="154"/>
      <c r="D6" s="154"/>
      <c r="E6" s="154"/>
      <c r="F6" s="154"/>
    </row>
    <row r="7" spans="1:8" x14ac:dyDescent="0.35">
      <c r="A7" s="1" t="s">
        <v>57</v>
      </c>
      <c r="B7" s="24" t="s">
        <v>58</v>
      </c>
    </row>
    <row r="8" spans="1:8" x14ac:dyDescent="0.35">
      <c r="A8" s="1" t="s">
        <v>390</v>
      </c>
      <c r="B8" s="25">
        <v>100000000</v>
      </c>
      <c r="C8" s="1" t="s">
        <v>59</v>
      </c>
    </row>
    <row r="9" spans="1:8" x14ac:dyDescent="0.35">
      <c r="A9" s="1" t="s">
        <v>391</v>
      </c>
      <c r="B9" s="26">
        <v>0.4</v>
      </c>
      <c r="C9" s="1" t="s">
        <v>60</v>
      </c>
    </row>
    <row r="10" spans="1:8" x14ac:dyDescent="0.35">
      <c r="A10" s="1" t="s">
        <v>392</v>
      </c>
      <c r="B10" s="27">
        <v>0.1</v>
      </c>
    </row>
    <row r="11" spans="1:8" x14ac:dyDescent="0.35">
      <c r="A11" s="1" t="s">
        <v>62</v>
      </c>
      <c r="B11" s="24">
        <v>5</v>
      </c>
    </row>
    <row r="12" spans="1:8" x14ac:dyDescent="0.35">
      <c r="A12" s="1" t="s">
        <v>393</v>
      </c>
      <c r="B12" s="27">
        <v>2.9999999999999997E-4</v>
      </c>
    </row>
    <row r="14" spans="1:8" x14ac:dyDescent="0.35">
      <c r="A14" s="164" t="s">
        <v>63</v>
      </c>
      <c r="B14" s="164"/>
      <c r="C14" s="164"/>
      <c r="D14" s="164"/>
      <c r="E14" s="164"/>
      <c r="F14" s="164"/>
    </row>
    <row r="15" spans="1:8" x14ac:dyDescent="0.35">
      <c r="A15" s="3" t="s">
        <v>64</v>
      </c>
      <c r="B15" s="3" t="s">
        <v>65</v>
      </c>
      <c r="C15" s="3" t="s">
        <v>66</v>
      </c>
      <c r="D15" s="3" t="s">
        <v>67</v>
      </c>
      <c r="E15" s="3" t="s">
        <v>68</v>
      </c>
      <c r="F15" s="3" t="s">
        <v>69</v>
      </c>
    </row>
    <row r="16" spans="1:8" x14ac:dyDescent="0.35">
      <c r="A16" s="28">
        <v>1</v>
      </c>
      <c r="B16" s="29">
        <v>1.2E-2</v>
      </c>
      <c r="C16" s="30">
        <f>B9</f>
        <v>0.4</v>
      </c>
      <c r="D16" s="31">
        <f>B8</f>
        <v>100000000</v>
      </c>
      <c r="E16" s="32">
        <f>1/(1+B10)^A16</f>
        <v>0.90909090909090906</v>
      </c>
      <c r="F16" s="31">
        <f>B16*C16*D16*E16</f>
        <v>436363.63636363641</v>
      </c>
    </row>
    <row r="18" spans="1:6" x14ac:dyDescent="0.35">
      <c r="A18" s="2" t="s">
        <v>70</v>
      </c>
      <c r="F18" s="33">
        <f>F16</f>
        <v>436363.63636363641</v>
      </c>
    </row>
    <row r="20" spans="1:6" x14ac:dyDescent="0.35">
      <c r="A20" s="165" t="s">
        <v>71</v>
      </c>
      <c r="B20" s="165"/>
      <c r="C20" s="165"/>
      <c r="D20" s="165"/>
      <c r="E20" s="165"/>
      <c r="F20" s="165"/>
    </row>
    <row r="21" spans="1:6" x14ac:dyDescent="0.35">
      <c r="A21" s="161" t="s">
        <v>394</v>
      </c>
      <c r="B21" s="161"/>
      <c r="C21" s="161"/>
      <c r="D21" s="161"/>
      <c r="E21" s="161"/>
      <c r="F21" s="161"/>
    </row>
    <row r="22" spans="1:6" x14ac:dyDescent="0.35">
      <c r="A22" s="3" t="s">
        <v>64</v>
      </c>
      <c r="B22" s="3" t="s">
        <v>72</v>
      </c>
      <c r="C22" s="3" t="s">
        <v>66</v>
      </c>
      <c r="D22" s="3" t="s">
        <v>67</v>
      </c>
      <c r="E22" s="3" t="s">
        <v>68</v>
      </c>
      <c r="F22" s="3" t="s">
        <v>69</v>
      </c>
    </row>
    <row r="23" spans="1:6" x14ac:dyDescent="0.35">
      <c r="A23" s="28">
        <v>1</v>
      </c>
      <c r="B23" s="29">
        <v>0.04</v>
      </c>
      <c r="C23" s="30">
        <f>$B$9</f>
        <v>0.4</v>
      </c>
      <c r="D23" s="31">
        <f>$B$8</f>
        <v>100000000</v>
      </c>
      <c r="E23" s="32">
        <f>1/(1+$B$10)^A23</f>
        <v>0.90909090909090906</v>
      </c>
      <c r="F23" s="31">
        <f>B23*C23*D23*E23</f>
        <v>1454545.4545454546</v>
      </c>
    </row>
    <row r="24" spans="1:6" x14ac:dyDescent="0.35">
      <c r="A24" s="28">
        <v>2</v>
      </c>
      <c r="B24" s="29">
        <v>0.05</v>
      </c>
      <c r="C24" s="30">
        <f>$B$9</f>
        <v>0.4</v>
      </c>
      <c r="D24" s="31">
        <f>$B$8</f>
        <v>100000000</v>
      </c>
      <c r="E24" s="32">
        <f>1/(1+$B$10)^A24</f>
        <v>0.82644628099173545</v>
      </c>
      <c r="F24" s="31">
        <f>B24*C24*D24*E24</f>
        <v>1652892.5619834713</v>
      </c>
    </row>
    <row r="25" spans="1:6" x14ac:dyDescent="0.35">
      <c r="A25" s="28">
        <v>3</v>
      </c>
      <c r="B25" s="29">
        <v>0.04</v>
      </c>
      <c r="C25" s="30">
        <f>$B$9</f>
        <v>0.4</v>
      </c>
      <c r="D25" s="31">
        <f>$B$8</f>
        <v>100000000</v>
      </c>
      <c r="E25" s="32">
        <f>1/(1+$B$10)^A25</f>
        <v>0.75131480090157754</v>
      </c>
      <c r="F25" s="31">
        <f>B25*C25*D25*E25</f>
        <v>1202103.6814425241</v>
      </c>
    </row>
    <row r="26" spans="1:6" x14ac:dyDescent="0.35">
      <c r="A26" s="28">
        <v>4</v>
      </c>
      <c r="B26" s="29">
        <v>0.03</v>
      </c>
      <c r="C26" s="30">
        <f>$B$9</f>
        <v>0.4</v>
      </c>
      <c r="D26" s="31">
        <f>$B$8</f>
        <v>100000000</v>
      </c>
      <c r="E26" s="32">
        <f>1/(1+$B$10)^A26</f>
        <v>0.68301345536507052</v>
      </c>
      <c r="F26" s="31">
        <f>B26*C26*D26*E26</f>
        <v>819616.14643808466</v>
      </c>
    </row>
    <row r="27" spans="1:6" x14ac:dyDescent="0.35">
      <c r="A27" s="28">
        <v>5</v>
      </c>
      <c r="B27" s="29">
        <v>2.5000000000000001E-2</v>
      </c>
      <c r="C27" s="30">
        <f>$B$9</f>
        <v>0.4</v>
      </c>
      <c r="D27" s="31">
        <f>$B$8</f>
        <v>100000000</v>
      </c>
      <c r="E27" s="32">
        <f>1/(1+$B$10)^A27</f>
        <v>0.62092132305915493</v>
      </c>
      <c r="F27" s="31">
        <f>B27*C27*D27*E27</f>
        <v>620921.32305915502</v>
      </c>
    </row>
    <row r="28" spans="1:6" x14ac:dyDescent="0.35">
      <c r="A28" s="2" t="s">
        <v>27</v>
      </c>
      <c r="F28" s="34">
        <f>SUM(F23:F27)</f>
        <v>5750079.1674686894</v>
      </c>
    </row>
    <row r="30" spans="1:6" x14ac:dyDescent="0.35">
      <c r="A30" s="154" t="s">
        <v>73</v>
      </c>
      <c r="B30" s="154"/>
      <c r="C30" s="154"/>
      <c r="D30" s="154"/>
      <c r="E30" s="154"/>
      <c r="F30" s="154"/>
    </row>
    <row r="31" spans="1:6" x14ac:dyDescent="0.35">
      <c r="A31" s="5" t="s">
        <v>74</v>
      </c>
      <c r="B31" s="31">
        <f>F18</f>
        <v>436363.63636363641</v>
      </c>
    </row>
    <row r="32" spans="1:6" x14ac:dyDescent="0.35">
      <c r="A32" s="5" t="s">
        <v>75</v>
      </c>
      <c r="B32" s="35">
        <f>0.4%*B8</f>
        <v>400000</v>
      </c>
    </row>
    <row r="33" spans="1:6" x14ac:dyDescent="0.35">
      <c r="A33" s="5" t="s">
        <v>76</v>
      </c>
      <c r="B33" s="36">
        <f>MAX(B31,B32)</f>
        <v>436363.63636363641</v>
      </c>
    </row>
    <row r="35" spans="1:6" x14ac:dyDescent="0.35">
      <c r="A35" s="5" t="s">
        <v>77</v>
      </c>
      <c r="B35" s="31">
        <f>F28</f>
        <v>5750079.1674686894</v>
      </c>
    </row>
    <row r="36" spans="1:6" x14ac:dyDescent="0.35">
      <c r="A36" s="5" t="s">
        <v>78</v>
      </c>
      <c r="B36" s="35">
        <f>5%*B8</f>
        <v>5000000</v>
      </c>
    </row>
    <row r="37" spans="1:6" x14ac:dyDescent="0.35">
      <c r="A37" s="5" t="s">
        <v>79</v>
      </c>
      <c r="B37" s="36">
        <f>MAX(B35,B36)</f>
        <v>5750079.1674686894</v>
      </c>
    </row>
    <row r="39" spans="1:6" x14ac:dyDescent="0.35">
      <c r="A39" s="154" t="s">
        <v>80</v>
      </c>
      <c r="B39" s="154"/>
      <c r="C39" s="154"/>
      <c r="D39" s="154"/>
      <c r="E39" s="154"/>
      <c r="F39" s="154"/>
    </row>
    <row r="40" spans="1:6" x14ac:dyDescent="0.35">
      <c r="A40" s="24" t="s">
        <v>81</v>
      </c>
    </row>
    <row r="41" spans="1:6" x14ac:dyDescent="0.35">
      <c r="A41" s="1" t="s">
        <v>82</v>
      </c>
    </row>
    <row r="42" spans="1:6" x14ac:dyDescent="0.35">
      <c r="A42" s="37" t="s">
        <v>83</v>
      </c>
    </row>
  </sheetData>
  <mergeCells count="9">
    <mergeCell ref="A21:F21"/>
    <mergeCell ref="A30:F30"/>
    <mergeCell ref="A39:F39"/>
    <mergeCell ref="A1:F1"/>
    <mergeCell ref="A3:F3"/>
    <mergeCell ref="A4:F4"/>
    <mergeCell ref="A6:F6"/>
    <mergeCell ref="A14:F14"/>
    <mergeCell ref="A20:F20"/>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B0CAE3-1CC5-674A-8234-42A21F3FB5A8}">
  <sheetPr>
    <tabColor rgb="FFBF8F00"/>
  </sheetPr>
  <dimension ref="A1:H22"/>
  <sheetViews>
    <sheetView workbookViewId="0">
      <selection activeCell="A18" sqref="A18"/>
    </sheetView>
  </sheetViews>
  <sheetFormatPr baseColWidth="10" defaultRowHeight="29" x14ac:dyDescent="0.35"/>
  <cols>
    <col min="1" max="1" width="40" style="1" customWidth="1"/>
    <col min="2" max="2" width="46.6640625" style="1" customWidth="1"/>
    <col min="3" max="6" width="20" style="1" customWidth="1"/>
    <col min="7" max="16384" width="10.83203125" style="1"/>
  </cols>
  <sheetData>
    <row r="1" spans="1:8" x14ac:dyDescent="0.35">
      <c r="A1" s="155" t="s">
        <v>84</v>
      </c>
      <c r="B1" s="155"/>
      <c r="C1" s="155"/>
      <c r="D1" s="155"/>
      <c r="E1" s="155"/>
      <c r="F1" s="155"/>
      <c r="H1" s="69" t="str">
        <f>HYPERLINK("#'0. TOC'!A1","← Back to TOC")</f>
        <v>← Back to TOC</v>
      </c>
    </row>
    <row r="3" spans="1:8" x14ac:dyDescent="0.35">
      <c r="A3" s="161" t="s">
        <v>395</v>
      </c>
      <c r="B3" s="161"/>
      <c r="C3" s="161"/>
      <c r="D3" s="161"/>
      <c r="E3" s="161"/>
      <c r="F3" s="161"/>
    </row>
    <row r="4" spans="1:8" x14ac:dyDescent="0.35">
      <c r="A4" s="161" t="s">
        <v>85</v>
      </c>
      <c r="B4" s="161"/>
      <c r="C4" s="161"/>
      <c r="D4" s="161"/>
      <c r="E4" s="161"/>
      <c r="F4" s="161"/>
    </row>
    <row r="6" spans="1:8" x14ac:dyDescent="0.35">
      <c r="A6" s="154" t="s">
        <v>86</v>
      </c>
      <c r="B6" s="154"/>
      <c r="C6" s="154"/>
      <c r="D6" s="154"/>
      <c r="E6" s="154"/>
      <c r="F6" s="154"/>
    </row>
    <row r="7" spans="1:8" x14ac:dyDescent="0.35">
      <c r="A7" s="1" t="s">
        <v>67</v>
      </c>
      <c r="B7" s="25">
        <v>100000000</v>
      </c>
    </row>
    <row r="8" spans="1:8" x14ac:dyDescent="0.35">
      <c r="A8" s="1" t="s">
        <v>66</v>
      </c>
      <c r="B8" s="26">
        <v>0.4</v>
      </c>
    </row>
    <row r="10" spans="1:8" x14ac:dyDescent="0.35">
      <c r="A10" s="154" t="s">
        <v>87</v>
      </c>
      <c r="B10" s="154"/>
      <c r="C10" s="154"/>
      <c r="D10" s="154"/>
      <c r="E10" s="154"/>
      <c r="F10" s="154"/>
    </row>
    <row r="11" spans="1:8" x14ac:dyDescent="0.35">
      <c r="A11" s="3" t="s">
        <v>88</v>
      </c>
      <c r="B11" s="3" t="s">
        <v>89</v>
      </c>
      <c r="C11" s="3" t="s">
        <v>396</v>
      </c>
      <c r="D11" s="3" t="s">
        <v>90</v>
      </c>
      <c r="E11" s="3" t="s">
        <v>91</v>
      </c>
      <c r="F11" s="3" t="s">
        <v>92</v>
      </c>
    </row>
    <row r="12" spans="1:8" ht="90" x14ac:dyDescent="0.35">
      <c r="A12" s="38" t="s">
        <v>93</v>
      </c>
      <c r="B12" s="44" t="s">
        <v>398</v>
      </c>
      <c r="C12" s="29">
        <v>5.0000000000000001E-3</v>
      </c>
      <c r="D12" s="39">
        <v>0.2</v>
      </c>
      <c r="E12" s="31">
        <f>C12*$B$8*$B$7</f>
        <v>200000</v>
      </c>
      <c r="F12" s="31">
        <f>D12*E12</f>
        <v>40000</v>
      </c>
    </row>
    <row r="13" spans="1:8" ht="60" x14ac:dyDescent="0.35">
      <c r="A13" s="40" t="s">
        <v>94</v>
      </c>
      <c r="B13" s="44" t="s">
        <v>95</v>
      </c>
      <c r="C13" s="29">
        <v>1.2E-2</v>
      </c>
      <c r="D13" s="39">
        <v>0.6</v>
      </c>
      <c r="E13" s="31">
        <f>C13*$B$8*$B$7</f>
        <v>480000.00000000006</v>
      </c>
      <c r="F13" s="31">
        <f>D13*E13</f>
        <v>288000</v>
      </c>
    </row>
    <row r="14" spans="1:8" ht="90" x14ac:dyDescent="0.35">
      <c r="A14" s="41" t="s">
        <v>96</v>
      </c>
      <c r="B14" s="44" t="s">
        <v>397</v>
      </c>
      <c r="C14" s="29">
        <v>3.5000000000000003E-2</v>
      </c>
      <c r="D14" s="39">
        <v>0.2</v>
      </c>
      <c r="E14" s="31">
        <f>C14*$B$8*$B$7</f>
        <v>1400000.0000000002</v>
      </c>
      <c r="F14" s="31">
        <f>D14*E14</f>
        <v>280000.00000000006</v>
      </c>
    </row>
    <row r="15" spans="1:8" x14ac:dyDescent="0.35">
      <c r="A15" s="42" t="s">
        <v>97</v>
      </c>
      <c r="B15" s="5"/>
      <c r="C15" s="5"/>
      <c r="D15" s="43">
        <f>SUM(D12:D14)</f>
        <v>1</v>
      </c>
      <c r="E15" s="5"/>
      <c r="F15" s="36">
        <f>SUM(F12:F14)</f>
        <v>608000</v>
      </c>
    </row>
    <row r="17" spans="1:6" x14ac:dyDescent="0.35">
      <c r="A17" s="154" t="s">
        <v>98</v>
      </c>
      <c r="B17" s="154"/>
      <c r="C17" s="154"/>
      <c r="D17" s="154"/>
      <c r="E17" s="154"/>
      <c r="F17" s="154"/>
    </row>
    <row r="18" spans="1:6" ht="60" x14ac:dyDescent="0.35">
      <c r="A18" s="44" t="s">
        <v>99</v>
      </c>
      <c r="B18" s="31">
        <f>C13*B8*B7</f>
        <v>480000.00000000006</v>
      </c>
    </row>
    <row r="19" spans="1:6" x14ac:dyDescent="0.35">
      <c r="A19" s="5" t="s">
        <v>100</v>
      </c>
      <c r="B19" s="36">
        <f>F15</f>
        <v>608000</v>
      </c>
    </row>
    <row r="20" spans="1:6" x14ac:dyDescent="0.35">
      <c r="A20" s="5" t="s">
        <v>101</v>
      </c>
      <c r="B20" s="35">
        <f>B19-B18</f>
        <v>127999.99999999994</v>
      </c>
    </row>
    <row r="22" spans="1:6" x14ac:dyDescent="0.35">
      <c r="A22" s="156" t="s">
        <v>102</v>
      </c>
      <c r="B22" s="156"/>
      <c r="C22" s="156"/>
      <c r="D22" s="156"/>
      <c r="E22" s="156"/>
      <c r="F22" s="156"/>
    </row>
  </sheetData>
  <mergeCells count="7">
    <mergeCell ref="A22:F22"/>
    <mergeCell ref="A1:F1"/>
    <mergeCell ref="A3:F3"/>
    <mergeCell ref="A4:F4"/>
    <mergeCell ref="A6:F6"/>
    <mergeCell ref="A10:F10"/>
    <mergeCell ref="A17:F17"/>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0698AB-7439-C549-80B2-434F7F51E657}">
  <sheetPr>
    <tabColor rgb="FFC65911"/>
  </sheetPr>
  <dimension ref="A1:H32"/>
  <sheetViews>
    <sheetView topLeftCell="A18" workbookViewId="0">
      <selection activeCell="G30" sqref="G30"/>
    </sheetView>
  </sheetViews>
  <sheetFormatPr baseColWidth="10" defaultRowHeight="29" x14ac:dyDescent="0.35"/>
  <cols>
    <col min="1" max="1" width="22.1640625" style="1" customWidth="1"/>
    <col min="2" max="2" width="46.6640625" style="1" customWidth="1"/>
    <col min="3" max="3" width="31.1640625" style="1" customWidth="1"/>
    <col min="4" max="4" width="21.6640625" style="1" customWidth="1"/>
    <col min="5" max="5" width="23.33203125" style="1" bestFit="1" customWidth="1"/>
    <col min="6" max="6" width="32.83203125" style="1" bestFit="1" customWidth="1"/>
    <col min="7" max="7" width="26.6640625" style="1" bestFit="1" customWidth="1"/>
    <col min="8" max="16384" width="10.83203125" style="1"/>
  </cols>
  <sheetData>
    <row r="1" spans="1:8" x14ac:dyDescent="0.35">
      <c r="A1" s="155" t="s">
        <v>103</v>
      </c>
      <c r="B1" s="155"/>
      <c r="C1" s="155"/>
      <c r="D1" s="155"/>
      <c r="E1" s="155"/>
      <c r="F1" s="155"/>
      <c r="G1" s="155"/>
      <c r="H1" s="69" t="str">
        <f>HYPERLINK("#'0. TOC'!A1","← Back to TOC")</f>
        <v>← Back to TOC</v>
      </c>
    </row>
    <row r="3" spans="1:8" ht="60" customHeight="1" x14ac:dyDescent="0.35">
      <c r="A3" s="166" t="s">
        <v>104</v>
      </c>
      <c r="B3" s="166"/>
      <c r="C3" s="166"/>
      <c r="D3" s="166"/>
      <c r="E3" s="166"/>
      <c r="F3" s="166"/>
      <c r="G3" s="166"/>
    </row>
    <row r="5" spans="1:8" x14ac:dyDescent="0.35">
      <c r="A5" s="3" t="s">
        <v>105</v>
      </c>
      <c r="B5" s="3" t="s">
        <v>106</v>
      </c>
      <c r="C5" s="3" t="s">
        <v>107</v>
      </c>
      <c r="D5" s="3" t="s">
        <v>108</v>
      </c>
    </row>
    <row r="6" spans="1:8" x14ac:dyDescent="0.35">
      <c r="A6" s="5" t="s">
        <v>109</v>
      </c>
      <c r="B6" s="5" t="s">
        <v>110</v>
      </c>
      <c r="C6" s="45">
        <v>4.0000000000000001E-3</v>
      </c>
      <c r="D6" s="45">
        <v>0.05</v>
      </c>
    </row>
    <row r="7" spans="1:8" x14ac:dyDescent="0.35">
      <c r="A7" s="5" t="s">
        <v>111</v>
      </c>
      <c r="B7" s="5" t="s">
        <v>112</v>
      </c>
      <c r="C7" s="45">
        <v>4.0000000000000001E-3</v>
      </c>
      <c r="D7" s="45">
        <v>0.05</v>
      </c>
    </row>
    <row r="8" spans="1:8" x14ac:dyDescent="0.35">
      <c r="A8" s="5" t="s">
        <v>113</v>
      </c>
      <c r="B8" s="5" t="s">
        <v>114</v>
      </c>
      <c r="C8" s="45">
        <v>2.5000000000000001E-3</v>
      </c>
      <c r="D8" s="45">
        <v>0.05</v>
      </c>
    </row>
    <row r="9" spans="1:8" x14ac:dyDescent="0.35">
      <c r="A9" s="5" t="s">
        <v>115</v>
      </c>
      <c r="B9" s="5" t="s">
        <v>116</v>
      </c>
      <c r="C9" s="45">
        <v>4.0000000000000001E-3</v>
      </c>
      <c r="D9" s="45">
        <v>0.05</v>
      </c>
    </row>
    <row r="10" spans="1:8" x14ac:dyDescent="0.35">
      <c r="A10" s="5" t="s">
        <v>117</v>
      </c>
      <c r="B10" s="5" t="s">
        <v>118</v>
      </c>
      <c r="C10" s="45">
        <v>2.5000000000000001E-3</v>
      </c>
      <c r="D10" s="45">
        <v>0.05</v>
      </c>
    </row>
    <row r="11" spans="1:8" x14ac:dyDescent="0.35">
      <c r="A11" s="5" t="s">
        <v>119</v>
      </c>
      <c r="B11" s="5" t="s">
        <v>399</v>
      </c>
      <c r="C11" s="45">
        <v>4.0000000000000001E-3</v>
      </c>
      <c r="D11" s="45">
        <v>0.05</v>
      </c>
    </row>
    <row r="12" spans="1:8" x14ac:dyDescent="0.35">
      <c r="A12" s="5" t="s">
        <v>120</v>
      </c>
      <c r="B12" s="5" t="s">
        <v>400</v>
      </c>
      <c r="C12" s="45">
        <v>4.0000000000000001E-3</v>
      </c>
      <c r="D12" s="45">
        <v>4.0000000000000001E-3</v>
      </c>
    </row>
    <row r="13" spans="1:8" x14ac:dyDescent="0.35">
      <c r="A13" s="5" t="s">
        <v>121</v>
      </c>
      <c r="B13" s="5" t="s">
        <v>122</v>
      </c>
      <c r="C13" s="45">
        <v>4.0000000000000001E-3</v>
      </c>
      <c r="D13" s="45">
        <v>1.4999999999999999E-2</v>
      </c>
    </row>
    <row r="14" spans="1:8" x14ac:dyDescent="0.35">
      <c r="A14" s="5" t="s">
        <v>123</v>
      </c>
      <c r="B14" s="5" t="s">
        <v>401</v>
      </c>
      <c r="C14" s="45">
        <v>4.0000000000000001E-3</v>
      </c>
      <c r="D14" s="45">
        <v>2.5000000000000001E-2</v>
      </c>
    </row>
    <row r="15" spans="1:8" x14ac:dyDescent="0.35">
      <c r="A15" s="5" t="s">
        <v>124</v>
      </c>
      <c r="B15" s="46" t="s">
        <v>125</v>
      </c>
      <c r="C15" s="47">
        <v>0.01</v>
      </c>
      <c r="D15" s="47">
        <v>0.05</v>
      </c>
    </row>
    <row r="16" spans="1:8" x14ac:dyDescent="0.35">
      <c r="A16" s="5" t="s">
        <v>126</v>
      </c>
      <c r="B16" s="5" t="s">
        <v>127</v>
      </c>
      <c r="C16" s="45">
        <v>2.5000000000000001E-3</v>
      </c>
      <c r="D16" s="45">
        <v>1.4999999999999999E-2</v>
      </c>
    </row>
    <row r="17" spans="1:7" x14ac:dyDescent="0.35">
      <c r="A17" s="5" t="s">
        <v>128</v>
      </c>
      <c r="B17" s="5" t="s">
        <v>402</v>
      </c>
      <c r="C17" s="45">
        <v>1.2500000000000001E-2</v>
      </c>
      <c r="D17" s="48" t="s">
        <v>406</v>
      </c>
    </row>
    <row r="18" spans="1:7" x14ac:dyDescent="0.35">
      <c r="A18" s="5" t="s">
        <v>129</v>
      </c>
      <c r="B18" s="5" t="s">
        <v>403</v>
      </c>
      <c r="C18" s="45">
        <v>0.01</v>
      </c>
      <c r="D18" s="48" t="s">
        <v>406</v>
      </c>
    </row>
    <row r="19" spans="1:7" x14ac:dyDescent="0.35">
      <c r="A19" s="5" t="s">
        <v>130</v>
      </c>
      <c r="B19" s="5" t="s">
        <v>404</v>
      </c>
      <c r="C19" s="45">
        <v>4.0000000000000001E-3</v>
      </c>
      <c r="D19" s="45">
        <v>1.4999999999999999E-2</v>
      </c>
    </row>
    <row r="20" spans="1:7" x14ac:dyDescent="0.35">
      <c r="A20" s="5" t="s">
        <v>131</v>
      </c>
      <c r="B20" s="5" t="s">
        <v>405</v>
      </c>
      <c r="C20" s="45">
        <v>4.0000000000000001E-3</v>
      </c>
      <c r="D20" s="45">
        <v>2.5000000000000001E-2</v>
      </c>
    </row>
    <row r="21" spans="1:7" x14ac:dyDescent="0.35">
      <c r="A21" s="5" t="s">
        <v>132</v>
      </c>
      <c r="B21" s="5" t="s">
        <v>133</v>
      </c>
      <c r="C21" s="45">
        <v>0.01</v>
      </c>
      <c r="D21" s="48" t="s">
        <v>406</v>
      </c>
    </row>
    <row r="22" spans="1:7" x14ac:dyDescent="0.35">
      <c r="A22" s="5" t="s">
        <v>134</v>
      </c>
      <c r="B22" s="5" t="s">
        <v>135</v>
      </c>
      <c r="C22" s="45">
        <v>4.0000000000000001E-3</v>
      </c>
      <c r="D22" s="45">
        <v>0.05</v>
      </c>
    </row>
    <row r="23" spans="1:7" x14ac:dyDescent="0.35">
      <c r="A23" s="5" t="s">
        <v>136</v>
      </c>
      <c r="B23" s="5" t="s">
        <v>407</v>
      </c>
      <c r="C23" s="45">
        <v>2.5000000000000001E-3</v>
      </c>
      <c r="D23" s="45">
        <v>2.5000000000000001E-3</v>
      </c>
    </row>
    <row r="24" spans="1:7" x14ac:dyDescent="0.35">
      <c r="A24" s="5" t="s">
        <v>137</v>
      </c>
      <c r="B24" s="46" t="s">
        <v>138</v>
      </c>
      <c r="C24" s="47">
        <v>0.05</v>
      </c>
      <c r="D24" s="47">
        <v>0.1</v>
      </c>
    </row>
    <row r="25" spans="1:7" x14ac:dyDescent="0.35">
      <c r="A25" s="5" t="s">
        <v>139</v>
      </c>
      <c r="B25" s="5" t="s">
        <v>140</v>
      </c>
      <c r="C25" s="45">
        <v>4.0000000000000001E-3</v>
      </c>
      <c r="D25" s="45">
        <v>0.05</v>
      </c>
    </row>
    <row r="27" spans="1:7" x14ac:dyDescent="0.35">
      <c r="A27" s="154" t="s">
        <v>141</v>
      </c>
      <c r="B27" s="154"/>
      <c r="C27" s="154"/>
      <c r="D27" s="154"/>
      <c r="E27" s="154"/>
      <c r="F27" s="154"/>
      <c r="G27" s="154"/>
    </row>
    <row r="28" spans="1:7" ht="30" x14ac:dyDescent="0.35">
      <c r="A28" s="5" t="s">
        <v>142</v>
      </c>
      <c r="B28" s="28" t="s">
        <v>42</v>
      </c>
      <c r="C28" s="53" t="s">
        <v>143</v>
      </c>
      <c r="D28" s="28" t="s">
        <v>144</v>
      </c>
      <c r="E28" s="28" t="s">
        <v>145</v>
      </c>
      <c r="F28" s="28" t="s">
        <v>146</v>
      </c>
      <c r="G28" s="28" t="s">
        <v>147</v>
      </c>
    </row>
    <row r="29" spans="1:7" x14ac:dyDescent="0.35">
      <c r="A29" s="49" t="s">
        <v>148</v>
      </c>
      <c r="B29" s="50" t="s">
        <v>46</v>
      </c>
      <c r="C29" s="51">
        <v>50000000000</v>
      </c>
      <c r="D29" s="45">
        <f>C7</f>
        <v>4.0000000000000001E-3</v>
      </c>
      <c r="E29" s="31">
        <f>C29*D29</f>
        <v>200000000</v>
      </c>
      <c r="F29" s="51">
        <v>150000000</v>
      </c>
      <c r="G29" s="36">
        <f>MAX(E29,F29)</f>
        <v>200000000</v>
      </c>
    </row>
    <row r="30" spans="1:7" x14ac:dyDescent="0.35">
      <c r="A30" s="49" t="s">
        <v>149</v>
      </c>
      <c r="B30" s="50" t="s">
        <v>46</v>
      </c>
      <c r="C30" s="51">
        <v>20000000000</v>
      </c>
      <c r="D30" s="45">
        <f>C15</f>
        <v>0.01</v>
      </c>
      <c r="E30" s="31">
        <f>C30*D30</f>
        <v>200000000</v>
      </c>
      <c r="F30" s="51">
        <v>150000000</v>
      </c>
      <c r="G30" s="36">
        <f>MAX(E30,F30)</f>
        <v>200000000</v>
      </c>
    </row>
    <row r="31" spans="1:7" x14ac:dyDescent="0.35">
      <c r="A31" s="49" t="s">
        <v>150</v>
      </c>
      <c r="B31" s="52" t="s">
        <v>50</v>
      </c>
      <c r="C31" s="51">
        <v>8000000000</v>
      </c>
      <c r="D31" s="45">
        <f>D16</f>
        <v>1.4999999999999999E-2</v>
      </c>
      <c r="E31" s="31">
        <f>C31*D31</f>
        <v>120000000</v>
      </c>
      <c r="F31" s="51">
        <v>100000000</v>
      </c>
      <c r="G31" s="36">
        <f>MAX(E31,F31)</f>
        <v>120000000</v>
      </c>
    </row>
    <row r="32" spans="1:7" x14ac:dyDescent="0.35">
      <c r="A32" s="49" t="s">
        <v>151</v>
      </c>
      <c r="B32" s="52" t="s">
        <v>50</v>
      </c>
      <c r="C32" s="51">
        <v>5000000000</v>
      </c>
      <c r="D32" s="45">
        <f>D24</f>
        <v>0.1</v>
      </c>
      <c r="E32" s="31">
        <f>C32*D32</f>
        <v>500000000</v>
      </c>
      <c r="F32" s="51">
        <v>350000000</v>
      </c>
      <c r="G32" s="36">
        <f>MAX(E32,F32)</f>
        <v>500000000</v>
      </c>
    </row>
  </sheetData>
  <mergeCells count="3">
    <mergeCell ref="A1:G1"/>
    <mergeCell ref="A3:G3"/>
    <mergeCell ref="A27:G27"/>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3D0F92-1A3D-B344-B66D-5DD5BB996EE2}">
  <sheetPr>
    <tabColor rgb="FF843C0C"/>
  </sheetPr>
  <dimension ref="A1:H36"/>
  <sheetViews>
    <sheetView topLeftCell="A20" workbookViewId="0">
      <selection activeCell="F32" sqref="F32"/>
    </sheetView>
  </sheetViews>
  <sheetFormatPr baseColWidth="10" defaultRowHeight="29" x14ac:dyDescent="0.35"/>
  <cols>
    <col min="1" max="1" width="34.5" style="1" customWidth="1"/>
    <col min="2" max="2" width="27.1640625" style="1" customWidth="1"/>
    <col min="3" max="5" width="21.6640625" style="1" customWidth="1"/>
    <col min="6" max="6" width="27" style="1" customWidth="1"/>
    <col min="7" max="7" width="21.6640625" style="1" customWidth="1"/>
    <col min="8" max="16384" width="10.83203125" style="1"/>
  </cols>
  <sheetData>
    <row r="1" spans="1:8" x14ac:dyDescent="0.35">
      <c r="A1" s="155">
        <v>0.01</v>
      </c>
      <c r="B1" s="155"/>
      <c r="C1" s="155"/>
      <c r="D1" s="155"/>
      <c r="E1" s="155"/>
      <c r="F1" s="155"/>
      <c r="G1" s="155"/>
      <c r="H1" s="69" t="str">
        <f>HYPERLINK("#'0. TOC'!A1","← Back to TOC")</f>
        <v>← Back to TOC</v>
      </c>
    </row>
    <row r="3" spans="1:8" x14ac:dyDescent="0.35">
      <c r="A3" s="161" t="s">
        <v>152</v>
      </c>
      <c r="B3" s="161"/>
      <c r="C3" s="161"/>
      <c r="D3" s="161"/>
      <c r="E3" s="161"/>
      <c r="F3" s="161"/>
      <c r="G3" s="161"/>
    </row>
    <row r="5" spans="1:8" x14ac:dyDescent="0.35">
      <c r="A5" s="154" t="s">
        <v>153</v>
      </c>
      <c r="B5" s="154"/>
      <c r="C5" s="154"/>
      <c r="D5" s="154"/>
      <c r="E5" s="154"/>
      <c r="F5" s="154"/>
      <c r="G5" s="154"/>
    </row>
    <row r="6" spans="1:8" x14ac:dyDescent="0.35">
      <c r="A6" s="3" t="s">
        <v>154</v>
      </c>
      <c r="B6" s="3" t="s">
        <v>155</v>
      </c>
      <c r="C6" s="3" t="s">
        <v>156</v>
      </c>
    </row>
    <row r="7" spans="1:8" x14ac:dyDescent="0.35">
      <c r="A7" s="5" t="s">
        <v>157</v>
      </c>
      <c r="B7" s="54">
        <v>0.25</v>
      </c>
      <c r="C7" s="54">
        <v>0.4</v>
      </c>
    </row>
    <row r="8" spans="1:8" x14ac:dyDescent="0.35">
      <c r="A8" s="5" t="s">
        <v>158</v>
      </c>
      <c r="B8" s="54">
        <v>0.4</v>
      </c>
      <c r="C8" s="54">
        <v>1</v>
      </c>
    </row>
    <row r="9" spans="1:8" x14ac:dyDescent="0.35">
      <c r="A9" s="5" t="s">
        <v>159</v>
      </c>
      <c r="B9" s="54">
        <v>0.55000000000000004</v>
      </c>
      <c r="C9" s="54">
        <v>1</v>
      </c>
    </row>
    <row r="10" spans="1:8" x14ac:dyDescent="0.35">
      <c r="A10" s="5" t="s">
        <v>160</v>
      </c>
      <c r="B10" s="54">
        <v>0.75</v>
      </c>
      <c r="C10" s="54">
        <v>1</v>
      </c>
    </row>
    <row r="11" spans="1:8" x14ac:dyDescent="0.35">
      <c r="A11" s="5" t="s">
        <v>161</v>
      </c>
      <c r="B11" s="55">
        <v>1</v>
      </c>
      <c r="C11" s="55">
        <v>1</v>
      </c>
    </row>
    <row r="13" spans="1:8" x14ac:dyDescent="0.35">
      <c r="A13" s="154" t="s">
        <v>162</v>
      </c>
      <c r="B13" s="154"/>
      <c r="C13" s="154"/>
      <c r="D13" s="154"/>
      <c r="E13" s="154"/>
      <c r="F13" s="154"/>
      <c r="G13" s="154"/>
    </row>
    <row r="14" spans="1:8" x14ac:dyDescent="0.35">
      <c r="A14" s="3" t="s">
        <v>154</v>
      </c>
      <c r="B14" s="3" t="s">
        <v>163</v>
      </c>
      <c r="C14" s="3" t="s">
        <v>164</v>
      </c>
    </row>
    <row r="15" spans="1:8" x14ac:dyDescent="0.35">
      <c r="A15" s="5" t="s">
        <v>157</v>
      </c>
      <c r="B15" s="54">
        <v>0.1</v>
      </c>
      <c r="C15" s="54">
        <v>0.25</v>
      </c>
    </row>
    <row r="16" spans="1:8" x14ac:dyDescent="0.35">
      <c r="A16" s="5" t="s">
        <v>158</v>
      </c>
      <c r="B16" s="54">
        <v>0.2</v>
      </c>
      <c r="C16" s="54">
        <v>1</v>
      </c>
    </row>
    <row r="17" spans="1:7" x14ac:dyDescent="0.35">
      <c r="A17" s="5" t="s">
        <v>159</v>
      </c>
      <c r="B17" s="54">
        <v>0.3</v>
      </c>
      <c r="C17" s="54">
        <v>1</v>
      </c>
    </row>
    <row r="18" spans="1:7" x14ac:dyDescent="0.35">
      <c r="A18" s="5" t="s">
        <v>160</v>
      </c>
      <c r="B18" s="54">
        <v>0.4</v>
      </c>
      <c r="C18" s="54">
        <v>1</v>
      </c>
    </row>
    <row r="19" spans="1:7" x14ac:dyDescent="0.35">
      <c r="A19" s="5" t="s">
        <v>165</v>
      </c>
      <c r="B19" s="55">
        <v>1</v>
      </c>
      <c r="C19" s="55">
        <v>1</v>
      </c>
    </row>
    <row r="21" spans="1:7" x14ac:dyDescent="0.35">
      <c r="A21" s="154" t="s">
        <v>166</v>
      </c>
      <c r="B21" s="154"/>
      <c r="C21" s="154"/>
      <c r="D21" s="154"/>
      <c r="E21" s="154"/>
      <c r="F21" s="154"/>
      <c r="G21" s="154"/>
    </row>
    <row r="22" spans="1:7" x14ac:dyDescent="0.35">
      <c r="A22" s="3" t="s">
        <v>154</v>
      </c>
      <c r="B22" s="3" t="s">
        <v>167</v>
      </c>
    </row>
    <row r="23" spans="1:7" x14ac:dyDescent="0.35">
      <c r="A23" s="5" t="s">
        <v>157</v>
      </c>
      <c r="B23" s="54">
        <v>0.25</v>
      </c>
    </row>
    <row r="24" spans="1:7" x14ac:dyDescent="0.35">
      <c r="A24" s="5" t="s">
        <v>168</v>
      </c>
      <c r="B24" s="55">
        <v>1</v>
      </c>
    </row>
    <row r="26" spans="1:7" x14ac:dyDescent="0.35">
      <c r="A26" s="154" t="s">
        <v>169</v>
      </c>
      <c r="B26" s="154"/>
      <c r="C26" s="154"/>
      <c r="D26" s="154"/>
      <c r="E26" s="154"/>
      <c r="F26" s="154"/>
      <c r="G26" s="154"/>
    </row>
    <row r="27" spans="1:7" x14ac:dyDescent="0.35">
      <c r="A27" s="1" t="s">
        <v>170</v>
      </c>
      <c r="B27" s="25">
        <v>100000000</v>
      </c>
    </row>
    <row r="28" spans="1:7" x14ac:dyDescent="0.35">
      <c r="A28" s="1" t="s">
        <v>171</v>
      </c>
      <c r="B28" s="25">
        <v>60000000</v>
      </c>
    </row>
    <row r="29" spans="1:7" x14ac:dyDescent="0.35">
      <c r="A29" s="1" t="s">
        <v>172</v>
      </c>
      <c r="B29" s="25">
        <v>40000000</v>
      </c>
    </row>
    <row r="31" spans="1:7" x14ac:dyDescent="0.35">
      <c r="A31" s="3" t="s">
        <v>173</v>
      </c>
      <c r="B31" s="3" t="s">
        <v>174</v>
      </c>
      <c r="C31" s="3" t="s">
        <v>175</v>
      </c>
      <c r="D31" s="3" t="s">
        <v>176</v>
      </c>
      <c r="E31" s="3" t="s">
        <v>177</v>
      </c>
      <c r="F31" s="3" t="s">
        <v>178</v>
      </c>
      <c r="G31" s="3" t="s">
        <v>179</v>
      </c>
    </row>
    <row r="32" spans="1:7" x14ac:dyDescent="0.35">
      <c r="A32" s="5" t="s">
        <v>157</v>
      </c>
      <c r="B32" s="54">
        <f t="shared" ref="B32:C36" si="0">B7</f>
        <v>0.25</v>
      </c>
      <c r="C32" s="54">
        <f t="shared" si="0"/>
        <v>0.4</v>
      </c>
      <c r="D32" s="31">
        <f>B32*$B$28</f>
        <v>15000000</v>
      </c>
      <c r="E32" s="31">
        <f>C32*$B$29</f>
        <v>16000000</v>
      </c>
      <c r="F32" s="56">
        <f>D32+E32</f>
        <v>31000000</v>
      </c>
      <c r="G32" s="30">
        <f>F32/$B$27</f>
        <v>0.31</v>
      </c>
    </row>
    <row r="33" spans="1:7" x14ac:dyDescent="0.35">
      <c r="A33" s="5" t="s">
        <v>158</v>
      </c>
      <c r="B33" s="54">
        <f t="shared" si="0"/>
        <v>0.4</v>
      </c>
      <c r="C33" s="54">
        <f t="shared" si="0"/>
        <v>1</v>
      </c>
      <c r="D33" s="31">
        <f>B33*$B$28</f>
        <v>24000000</v>
      </c>
      <c r="E33" s="31">
        <f>C33*$B$29</f>
        <v>40000000</v>
      </c>
      <c r="F33" s="56">
        <f>D33+E33</f>
        <v>64000000</v>
      </c>
      <c r="G33" s="30">
        <f>F33/$B$27</f>
        <v>0.64</v>
      </c>
    </row>
    <row r="34" spans="1:7" x14ac:dyDescent="0.35">
      <c r="A34" s="5" t="s">
        <v>159</v>
      </c>
      <c r="B34" s="54">
        <f t="shared" si="0"/>
        <v>0.55000000000000004</v>
      </c>
      <c r="C34" s="54">
        <f t="shared" si="0"/>
        <v>1</v>
      </c>
      <c r="D34" s="31">
        <f>B34*$B$28</f>
        <v>33000000.000000004</v>
      </c>
      <c r="E34" s="31">
        <f>C34*$B$29</f>
        <v>40000000</v>
      </c>
      <c r="F34" s="56">
        <f>D34+E34</f>
        <v>73000000</v>
      </c>
      <c r="G34" s="30">
        <f>F34/$B$27</f>
        <v>0.73</v>
      </c>
    </row>
    <row r="35" spans="1:7" x14ac:dyDescent="0.35">
      <c r="A35" s="5" t="s">
        <v>160</v>
      </c>
      <c r="B35" s="54">
        <f t="shared" si="0"/>
        <v>0.75</v>
      </c>
      <c r="C35" s="54">
        <f t="shared" si="0"/>
        <v>1</v>
      </c>
      <c r="D35" s="31">
        <f>B35*$B$28</f>
        <v>45000000</v>
      </c>
      <c r="E35" s="31">
        <f>C35*$B$29</f>
        <v>40000000</v>
      </c>
      <c r="F35" s="56">
        <f>D35+E35</f>
        <v>85000000</v>
      </c>
      <c r="G35" s="30">
        <f>F35/$B$27</f>
        <v>0.85</v>
      </c>
    </row>
    <row r="36" spans="1:7" x14ac:dyDescent="0.35">
      <c r="A36" s="46" t="s">
        <v>161</v>
      </c>
      <c r="B36" s="55">
        <f t="shared" si="0"/>
        <v>1</v>
      </c>
      <c r="C36" s="55">
        <f t="shared" si="0"/>
        <v>1</v>
      </c>
      <c r="D36" s="57">
        <f>B36*$B$28</f>
        <v>60000000</v>
      </c>
      <c r="E36" s="57">
        <f>C36*$B$29</f>
        <v>40000000</v>
      </c>
      <c r="F36" s="58">
        <f>D36+E36</f>
        <v>100000000</v>
      </c>
      <c r="G36" s="59">
        <f>F36/$B$27</f>
        <v>1</v>
      </c>
    </row>
  </sheetData>
  <mergeCells count="6">
    <mergeCell ref="A26:G26"/>
    <mergeCell ref="A1:G1"/>
    <mergeCell ref="A3:G3"/>
    <mergeCell ref="A5:G5"/>
    <mergeCell ref="A13:G13"/>
    <mergeCell ref="A21:G21"/>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61AE02-BFEB-3D47-BB6D-B9211CF8DAC9}">
  <sheetPr>
    <tabColor rgb="FF7030A0"/>
  </sheetPr>
  <dimension ref="A1:H25"/>
  <sheetViews>
    <sheetView topLeftCell="A11" workbookViewId="0">
      <selection activeCell="B12" sqref="B12"/>
    </sheetView>
  </sheetViews>
  <sheetFormatPr baseColWidth="10" defaultRowHeight="29" x14ac:dyDescent="0.35"/>
  <cols>
    <col min="1" max="1" width="52.83203125" style="1" customWidth="1"/>
    <col min="2" max="6" width="23.33203125" style="1" customWidth="1"/>
    <col min="7" max="16384" width="10.83203125" style="1"/>
  </cols>
  <sheetData>
    <row r="1" spans="1:8" x14ac:dyDescent="0.35">
      <c r="A1" s="162" t="s">
        <v>408</v>
      </c>
      <c r="B1" s="155"/>
      <c r="C1" s="155"/>
      <c r="D1" s="155"/>
      <c r="E1" s="155"/>
      <c r="F1" s="155"/>
      <c r="H1" s="69" t="str">
        <f>HYPERLINK("#'0. TOC'!A1","← Back to TOC")</f>
        <v>← Back to TOC</v>
      </c>
    </row>
    <row r="3" spans="1:8" x14ac:dyDescent="0.35">
      <c r="A3" s="161" t="s">
        <v>409</v>
      </c>
      <c r="B3" s="161"/>
      <c r="C3" s="161"/>
      <c r="D3" s="161"/>
      <c r="E3" s="161"/>
      <c r="F3" s="161"/>
    </row>
    <row r="4" spans="1:8" x14ac:dyDescent="0.35">
      <c r="A4" s="163" t="s">
        <v>410</v>
      </c>
      <c r="B4" s="163"/>
      <c r="C4" s="163"/>
      <c r="D4" s="163"/>
      <c r="E4" s="163"/>
      <c r="F4" s="163"/>
    </row>
    <row r="6" spans="1:8" x14ac:dyDescent="0.35">
      <c r="A6" s="154" t="s">
        <v>180</v>
      </c>
      <c r="B6" s="154"/>
      <c r="C6" s="154"/>
      <c r="D6" s="154"/>
      <c r="E6" s="154"/>
      <c r="F6" s="154"/>
    </row>
    <row r="7" spans="1:8" x14ac:dyDescent="0.35">
      <c r="A7" s="5" t="s">
        <v>181</v>
      </c>
      <c r="B7" s="60">
        <v>12000</v>
      </c>
    </row>
    <row r="8" spans="1:8" x14ac:dyDescent="0.35">
      <c r="A8" s="5" t="s">
        <v>182</v>
      </c>
      <c r="B8" s="60">
        <v>8000</v>
      </c>
    </row>
    <row r="9" spans="1:8" x14ac:dyDescent="0.35">
      <c r="A9" s="5" t="s">
        <v>183</v>
      </c>
      <c r="B9" s="61">
        <f>MAX(0,B7-B8)</f>
        <v>4000</v>
      </c>
    </row>
    <row r="10" spans="1:8" x14ac:dyDescent="0.35">
      <c r="A10" s="5" t="s">
        <v>184</v>
      </c>
      <c r="B10" s="62">
        <v>0.252</v>
      </c>
    </row>
    <row r="11" spans="1:8" x14ac:dyDescent="0.35">
      <c r="A11" s="5" t="s">
        <v>185</v>
      </c>
      <c r="B11" s="63">
        <f>B9*(1-B10)</f>
        <v>2992</v>
      </c>
    </row>
    <row r="13" spans="1:8" x14ac:dyDescent="0.35">
      <c r="A13" s="154" t="s">
        <v>186</v>
      </c>
      <c r="B13" s="154"/>
      <c r="C13" s="154"/>
      <c r="D13" s="154"/>
      <c r="E13" s="154"/>
      <c r="F13" s="154"/>
    </row>
    <row r="14" spans="1:8" x14ac:dyDescent="0.35">
      <c r="A14" s="3" t="s">
        <v>187</v>
      </c>
      <c r="B14" s="3" t="s">
        <v>188</v>
      </c>
      <c r="C14" s="3" t="s">
        <v>189</v>
      </c>
      <c r="D14" s="3" t="s">
        <v>190</v>
      </c>
      <c r="E14" s="3" t="s">
        <v>191</v>
      </c>
      <c r="F14" s="3" t="s">
        <v>192</v>
      </c>
    </row>
    <row r="15" spans="1:8" x14ac:dyDescent="0.35">
      <c r="A15" s="5" t="s">
        <v>193</v>
      </c>
      <c r="B15" s="64">
        <v>46117</v>
      </c>
      <c r="C15" s="54">
        <v>0.8</v>
      </c>
      <c r="D15" s="65">
        <f>$B$11</f>
        <v>2992</v>
      </c>
      <c r="E15" s="61">
        <f>C15*D15</f>
        <v>2393.6</v>
      </c>
      <c r="F15" s="66">
        <f>D15-E15</f>
        <v>598.40000000000009</v>
      </c>
    </row>
    <row r="16" spans="1:8" x14ac:dyDescent="0.35">
      <c r="A16" s="5" t="s">
        <v>194</v>
      </c>
      <c r="B16" s="64">
        <v>46086</v>
      </c>
      <c r="C16" s="54">
        <v>0.6</v>
      </c>
      <c r="D16" s="65">
        <f>$B$11</f>
        <v>2992</v>
      </c>
      <c r="E16" s="61">
        <f>C16*D16</f>
        <v>1795.2</v>
      </c>
      <c r="F16" s="66">
        <f>D16-E16</f>
        <v>1196.8</v>
      </c>
    </row>
    <row r="17" spans="1:6" x14ac:dyDescent="0.35">
      <c r="A17" s="5" t="s">
        <v>195</v>
      </c>
      <c r="B17" s="64">
        <v>46058</v>
      </c>
      <c r="C17" s="54">
        <v>0.4</v>
      </c>
      <c r="D17" s="65">
        <f>$B$11</f>
        <v>2992</v>
      </c>
      <c r="E17" s="61">
        <f>C17*D17</f>
        <v>1196.8</v>
      </c>
      <c r="F17" s="66">
        <f>D17-E17</f>
        <v>1795.2</v>
      </c>
    </row>
    <row r="18" spans="1:6" x14ac:dyDescent="0.35">
      <c r="A18" s="5" t="s">
        <v>196</v>
      </c>
      <c r="B18" s="64">
        <v>46027</v>
      </c>
      <c r="C18" s="54">
        <v>0.2</v>
      </c>
      <c r="D18" s="65">
        <f>$B$11</f>
        <v>2992</v>
      </c>
      <c r="E18" s="61">
        <f>C18*D18</f>
        <v>598.4</v>
      </c>
      <c r="F18" s="66">
        <f>D18-E18</f>
        <v>2393.6</v>
      </c>
    </row>
    <row r="19" spans="1:6" x14ac:dyDescent="0.35">
      <c r="A19" s="5" t="s">
        <v>197</v>
      </c>
      <c r="B19" s="64">
        <v>0</v>
      </c>
      <c r="C19" s="54">
        <v>0</v>
      </c>
      <c r="D19" s="65">
        <f>$B$11</f>
        <v>2992</v>
      </c>
      <c r="E19" s="61">
        <f>C19*D19</f>
        <v>0</v>
      </c>
      <c r="F19" s="66">
        <f>D19-E19</f>
        <v>2992</v>
      </c>
    </row>
    <row r="21" spans="1:6" x14ac:dyDescent="0.35">
      <c r="A21" s="154" t="s">
        <v>198</v>
      </c>
      <c r="B21" s="154"/>
      <c r="C21" s="154"/>
      <c r="D21" s="154"/>
      <c r="E21" s="154"/>
      <c r="F21" s="154"/>
    </row>
    <row r="22" spans="1:6" x14ac:dyDescent="0.35">
      <c r="A22" s="152" t="s">
        <v>199</v>
      </c>
      <c r="B22" s="152"/>
      <c r="C22" s="152"/>
      <c r="D22" s="152"/>
      <c r="E22" s="152"/>
      <c r="F22" s="152"/>
    </row>
    <row r="23" spans="1:6" x14ac:dyDescent="0.35">
      <c r="A23" s="152" t="s">
        <v>411</v>
      </c>
      <c r="B23" s="152"/>
      <c r="C23" s="152"/>
      <c r="D23" s="152"/>
      <c r="E23" s="152"/>
      <c r="F23" s="152"/>
    </row>
    <row r="24" spans="1:6" x14ac:dyDescent="0.35">
      <c r="A24" s="152" t="s">
        <v>412</v>
      </c>
      <c r="B24" s="152"/>
      <c r="C24" s="152"/>
      <c r="D24" s="152"/>
      <c r="E24" s="152"/>
      <c r="F24" s="152"/>
    </row>
    <row r="25" spans="1:6" x14ac:dyDescent="0.35">
      <c r="A25" s="152" t="s">
        <v>413</v>
      </c>
      <c r="B25" s="152"/>
      <c r="C25" s="152"/>
      <c r="D25" s="152"/>
      <c r="E25" s="152"/>
      <c r="F25" s="152"/>
    </row>
  </sheetData>
  <mergeCells count="10">
    <mergeCell ref="A22:F22"/>
    <mergeCell ref="A23:F23"/>
    <mergeCell ref="A24:F24"/>
    <mergeCell ref="A25:F25"/>
    <mergeCell ref="A1:F1"/>
    <mergeCell ref="A3:F3"/>
    <mergeCell ref="A4:F4"/>
    <mergeCell ref="A6:F6"/>
    <mergeCell ref="A13:F13"/>
    <mergeCell ref="A21:F21"/>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2E3221-BCEA-5B4C-9430-A21C0F099094}">
  <sheetPr>
    <tabColor rgb="FF525252"/>
  </sheetPr>
  <dimension ref="A1:H29"/>
  <sheetViews>
    <sheetView workbookViewId="0">
      <selection activeCell="J38" sqref="J38"/>
    </sheetView>
  </sheetViews>
  <sheetFormatPr baseColWidth="10" defaultRowHeight="29" x14ac:dyDescent="0.35"/>
  <cols>
    <col min="1" max="1" width="30" style="68" customWidth="1"/>
    <col min="2" max="3" width="53.33203125" style="68" customWidth="1"/>
    <col min="4" max="16384" width="10.83203125" style="1"/>
  </cols>
  <sheetData>
    <row r="1" spans="1:8" ht="30" customHeight="1" x14ac:dyDescent="0.35">
      <c r="A1" s="157" t="s">
        <v>414</v>
      </c>
      <c r="B1" s="158"/>
      <c r="C1" s="158"/>
      <c r="H1" s="69" t="str">
        <f>HYPERLINK("#'0. TOC'!A1","← Back to TOC")</f>
        <v>← Back to TOC</v>
      </c>
    </row>
    <row r="3" spans="1:8" ht="30" x14ac:dyDescent="0.35">
      <c r="A3" s="67" t="s">
        <v>200</v>
      </c>
      <c r="B3" s="67" t="s">
        <v>201</v>
      </c>
      <c r="C3" s="67" t="s">
        <v>202</v>
      </c>
    </row>
    <row r="4" spans="1:8" ht="64" customHeight="1" x14ac:dyDescent="0.35">
      <c r="A4" s="44" t="s">
        <v>203</v>
      </c>
      <c r="B4" s="44" t="s">
        <v>204</v>
      </c>
      <c r="C4" s="44" t="s">
        <v>205</v>
      </c>
    </row>
    <row r="5" spans="1:8" ht="60" x14ac:dyDescent="0.35">
      <c r="A5" s="44" t="s">
        <v>206</v>
      </c>
      <c r="B5" s="44" t="s">
        <v>207</v>
      </c>
      <c r="C5" s="44" t="s">
        <v>208</v>
      </c>
    </row>
    <row r="6" spans="1:8" ht="90" x14ac:dyDescent="0.35">
      <c r="A6" s="44" t="s">
        <v>209</v>
      </c>
      <c r="B6" s="44" t="s">
        <v>210</v>
      </c>
      <c r="C6" s="44" t="s">
        <v>415</v>
      </c>
    </row>
    <row r="7" spans="1:8" ht="60" x14ac:dyDescent="0.35">
      <c r="A7" s="44" t="s">
        <v>211</v>
      </c>
      <c r="B7" s="44" t="s">
        <v>212</v>
      </c>
      <c r="C7" s="44" t="s">
        <v>213</v>
      </c>
    </row>
    <row r="8" spans="1:8" ht="60" x14ac:dyDescent="0.35">
      <c r="A8" s="44" t="s">
        <v>214</v>
      </c>
      <c r="B8" s="44" t="s">
        <v>215</v>
      </c>
      <c r="C8" s="44" t="s">
        <v>216</v>
      </c>
    </row>
    <row r="9" spans="1:8" ht="30" x14ac:dyDescent="0.35">
      <c r="A9" s="44" t="s">
        <v>217</v>
      </c>
      <c r="B9" s="44" t="s">
        <v>218</v>
      </c>
      <c r="C9" s="44" t="s">
        <v>61</v>
      </c>
    </row>
    <row r="10" spans="1:8" ht="60" x14ac:dyDescent="0.35">
      <c r="A10" s="44" t="s">
        <v>219</v>
      </c>
      <c r="B10" s="44" t="s">
        <v>220</v>
      </c>
      <c r="C10" s="44" t="s">
        <v>221</v>
      </c>
    </row>
    <row r="11" spans="1:8" ht="60" x14ac:dyDescent="0.35">
      <c r="A11" s="44" t="s">
        <v>222</v>
      </c>
      <c r="B11" s="44" t="s">
        <v>223</v>
      </c>
      <c r="C11" s="44" t="s">
        <v>224</v>
      </c>
    </row>
    <row r="12" spans="1:8" ht="90" x14ac:dyDescent="0.35">
      <c r="A12" s="44" t="s">
        <v>225</v>
      </c>
      <c r="B12" s="44" t="s">
        <v>226</v>
      </c>
      <c r="C12" s="44" t="s">
        <v>227</v>
      </c>
    </row>
    <row r="13" spans="1:8" ht="60" x14ac:dyDescent="0.35">
      <c r="A13" s="44" t="s">
        <v>228</v>
      </c>
      <c r="B13" s="44" t="s">
        <v>417</v>
      </c>
      <c r="C13" s="44" t="s">
        <v>416</v>
      </c>
    </row>
    <row r="14" spans="1:8" ht="60" x14ac:dyDescent="0.35">
      <c r="A14" s="44" t="s">
        <v>229</v>
      </c>
      <c r="B14" s="44" t="s">
        <v>230</v>
      </c>
      <c r="C14" s="44" t="s">
        <v>231</v>
      </c>
    </row>
    <row r="16" spans="1:8" x14ac:dyDescent="0.35">
      <c r="A16" s="168" t="s">
        <v>232</v>
      </c>
      <c r="B16" s="168"/>
      <c r="C16" s="168"/>
    </row>
    <row r="17" spans="1:3" x14ac:dyDescent="0.35">
      <c r="A17" s="167" t="s">
        <v>418</v>
      </c>
      <c r="B17" s="167"/>
      <c r="C17" s="167"/>
    </row>
    <row r="18" spans="1:3" x14ac:dyDescent="0.35">
      <c r="A18" s="167" t="s">
        <v>233</v>
      </c>
      <c r="B18" s="167"/>
      <c r="C18" s="167"/>
    </row>
    <row r="19" spans="1:3" x14ac:dyDescent="0.35">
      <c r="A19" s="167" t="s">
        <v>419</v>
      </c>
      <c r="B19" s="167"/>
      <c r="C19" s="167"/>
    </row>
    <row r="20" spans="1:3" x14ac:dyDescent="0.35">
      <c r="A20" s="167" t="s">
        <v>420</v>
      </c>
      <c r="B20" s="167"/>
      <c r="C20" s="167"/>
    </row>
    <row r="21" spans="1:3" x14ac:dyDescent="0.35">
      <c r="A21" s="167" t="s">
        <v>234</v>
      </c>
      <c r="B21" s="167"/>
      <c r="C21" s="167"/>
    </row>
    <row r="23" spans="1:3" x14ac:dyDescent="0.35">
      <c r="A23" s="168" t="s">
        <v>235</v>
      </c>
      <c r="B23" s="168"/>
      <c r="C23" s="168"/>
    </row>
    <row r="24" spans="1:3" x14ac:dyDescent="0.35">
      <c r="A24" s="167" t="s">
        <v>236</v>
      </c>
      <c r="B24" s="167"/>
      <c r="C24" s="167"/>
    </row>
    <row r="25" spans="1:3" x14ac:dyDescent="0.35">
      <c r="A25" s="167" t="s">
        <v>237</v>
      </c>
      <c r="B25" s="167"/>
      <c r="C25" s="167"/>
    </row>
    <row r="26" spans="1:3" x14ac:dyDescent="0.35">
      <c r="A26" s="167" t="s">
        <v>238</v>
      </c>
      <c r="B26" s="167"/>
      <c r="C26" s="167"/>
    </row>
    <row r="27" spans="1:3" x14ac:dyDescent="0.35">
      <c r="A27" s="167" t="s">
        <v>239</v>
      </c>
      <c r="B27" s="167"/>
      <c r="C27" s="167"/>
    </row>
    <row r="28" spans="1:3" x14ac:dyDescent="0.35">
      <c r="A28" s="167" t="s">
        <v>240</v>
      </c>
      <c r="B28" s="167"/>
      <c r="C28" s="167"/>
    </row>
    <row r="29" spans="1:3" x14ac:dyDescent="0.35">
      <c r="A29" s="167" t="s">
        <v>241</v>
      </c>
      <c r="B29" s="167"/>
      <c r="C29" s="167"/>
    </row>
  </sheetData>
  <mergeCells count="14">
    <mergeCell ref="A29:C29"/>
    <mergeCell ref="A1:C1"/>
    <mergeCell ref="A16:C16"/>
    <mergeCell ref="A23:C23"/>
    <mergeCell ref="A17:C17"/>
    <mergeCell ref="A18:C18"/>
    <mergeCell ref="A19:C19"/>
    <mergeCell ref="A20:C20"/>
    <mergeCell ref="A21:C21"/>
    <mergeCell ref="A24:C24"/>
    <mergeCell ref="A25:C25"/>
    <mergeCell ref="A26:C26"/>
    <mergeCell ref="A27:C27"/>
    <mergeCell ref="A28:C28"/>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90EFCF-A3D2-384C-96DF-6D466640C2DD}">
  <sheetPr>
    <tabColor rgb="FF385723"/>
  </sheetPr>
  <dimension ref="A1:H132"/>
  <sheetViews>
    <sheetView topLeftCell="A107" workbookViewId="0">
      <selection activeCell="A13" sqref="A13"/>
    </sheetView>
  </sheetViews>
  <sheetFormatPr baseColWidth="10" defaultRowHeight="27" x14ac:dyDescent="0.35"/>
  <cols>
    <col min="1" max="1" width="163.33203125" style="78" customWidth="1"/>
    <col min="2" max="16384" width="10.83203125" style="75"/>
  </cols>
  <sheetData>
    <row r="1" spans="1:8" ht="28" x14ac:dyDescent="0.35">
      <c r="A1" s="74" t="s">
        <v>250</v>
      </c>
      <c r="H1" s="76" t="str">
        <f>HYPERLINK("#'0. TOC'!A1","← Back to TOC")</f>
        <v>← Back to TOC</v>
      </c>
    </row>
    <row r="2" spans="1:8" ht="28" x14ac:dyDescent="0.35">
      <c r="A2" s="77" t="s">
        <v>251</v>
      </c>
    </row>
    <row r="4" spans="1:8" ht="28" x14ac:dyDescent="0.35">
      <c r="A4" s="74" t="s">
        <v>252</v>
      </c>
    </row>
    <row r="5" spans="1:8" ht="140" x14ac:dyDescent="0.35">
      <c r="A5" s="78" t="s">
        <v>280</v>
      </c>
    </row>
    <row r="6" spans="1:8" ht="56" x14ac:dyDescent="0.35">
      <c r="A6" s="78" t="s">
        <v>253</v>
      </c>
    </row>
    <row r="7" spans="1:8" ht="84" x14ac:dyDescent="0.35">
      <c r="A7" s="80" t="s">
        <v>281</v>
      </c>
    </row>
    <row r="9" spans="1:8" ht="28" x14ac:dyDescent="0.35">
      <c r="A9" s="74" t="s">
        <v>254</v>
      </c>
    </row>
    <row r="10" spans="1:8" ht="56" x14ac:dyDescent="0.35">
      <c r="A10" s="78" t="s">
        <v>282</v>
      </c>
    </row>
    <row r="11" spans="1:8" ht="168" x14ac:dyDescent="0.35">
      <c r="A11" s="78" t="s">
        <v>283</v>
      </c>
    </row>
    <row r="12" spans="1:8" ht="56" x14ac:dyDescent="0.35">
      <c r="A12" s="78" t="s">
        <v>255</v>
      </c>
    </row>
    <row r="13" spans="1:8" ht="28" x14ac:dyDescent="0.35">
      <c r="A13" s="78" t="s">
        <v>256</v>
      </c>
    </row>
    <row r="14" spans="1:8" ht="140" x14ac:dyDescent="0.35">
      <c r="A14" s="78" t="s">
        <v>284</v>
      </c>
    </row>
    <row r="16" spans="1:8" ht="28" x14ac:dyDescent="0.35">
      <c r="A16" s="74" t="s">
        <v>257</v>
      </c>
    </row>
    <row r="17" spans="1:1" ht="112" x14ac:dyDescent="0.35">
      <c r="A17" s="78" t="s">
        <v>285</v>
      </c>
    </row>
    <row r="18" spans="1:1" ht="112" x14ac:dyDescent="0.35">
      <c r="A18" s="78" t="s">
        <v>286</v>
      </c>
    </row>
    <row r="19" spans="1:1" ht="112" x14ac:dyDescent="0.35">
      <c r="A19" s="78" t="s">
        <v>287</v>
      </c>
    </row>
    <row r="20" spans="1:1" ht="112" x14ac:dyDescent="0.35">
      <c r="A20" s="78" t="s">
        <v>288</v>
      </c>
    </row>
    <row r="21" spans="1:1" ht="112" x14ac:dyDescent="0.35">
      <c r="A21" s="78" t="s">
        <v>289</v>
      </c>
    </row>
    <row r="22" spans="1:1" ht="56" x14ac:dyDescent="0.35">
      <c r="A22" s="78" t="s">
        <v>258</v>
      </c>
    </row>
    <row r="24" spans="1:1" ht="28" x14ac:dyDescent="0.35">
      <c r="A24" s="74" t="s">
        <v>259</v>
      </c>
    </row>
    <row r="25" spans="1:1" ht="84" x14ac:dyDescent="0.35">
      <c r="A25" s="78" t="s">
        <v>290</v>
      </c>
    </row>
    <row r="26" spans="1:1" ht="84" x14ac:dyDescent="0.35">
      <c r="A26" s="78" t="s">
        <v>291</v>
      </c>
    </row>
    <row r="27" spans="1:1" ht="84" x14ac:dyDescent="0.35">
      <c r="A27" s="78" t="s">
        <v>292</v>
      </c>
    </row>
    <row r="28" spans="1:1" ht="84" x14ac:dyDescent="0.35">
      <c r="A28" s="78" t="s">
        <v>293</v>
      </c>
    </row>
    <row r="29" spans="1:1" ht="84" x14ac:dyDescent="0.35">
      <c r="A29" s="78" t="s">
        <v>294</v>
      </c>
    </row>
    <row r="30" spans="1:1" ht="112" x14ac:dyDescent="0.35">
      <c r="A30" s="78" t="s">
        <v>295</v>
      </c>
    </row>
    <row r="31" spans="1:1" ht="140" x14ac:dyDescent="0.35">
      <c r="A31" s="78" t="s">
        <v>296</v>
      </c>
    </row>
    <row r="33" spans="1:1" ht="28" x14ac:dyDescent="0.35">
      <c r="A33" s="74" t="s">
        <v>260</v>
      </c>
    </row>
    <row r="34" spans="1:1" ht="56" x14ac:dyDescent="0.35">
      <c r="A34" s="78" t="s">
        <v>261</v>
      </c>
    </row>
    <row r="35" spans="1:1" ht="112" x14ac:dyDescent="0.35">
      <c r="A35" s="78" t="s">
        <v>297</v>
      </c>
    </row>
    <row r="36" spans="1:1" ht="84" x14ac:dyDescent="0.35">
      <c r="A36" s="78" t="s">
        <v>262</v>
      </c>
    </row>
    <row r="38" spans="1:1" ht="28" x14ac:dyDescent="0.35">
      <c r="A38" s="74" t="s">
        <v>263</v>
      </c>
    </row>
    <row r="39" spans="1:1" ht="112" x14ac:dyDescent="0.35">
      <c r="A39" s="78" t="s">
        <v>298</v>
      </c>
    </row>
    <row r="41" spans="1:1" ht="28" x14ac:dyDescent="0.35">
      <c r="A41" s="74" t="s">
        <v>264</v>
      </c>
    </row>
    <row r="42" spans="1:1" ht="84" x14ac:dyDescent="0.35">
      <c r="A42" s="78" t="s">
        <v>299</v>
      </c>
    </row>
    <row r="43" spans="1:1" ht="140" x14ac:dyDescent="0.35">
      <c r="A43" s="78" t="s">
        <v>300</v>
      </c>
    </row>
    <row r="44" spans="1:1" ht="56" x14ac:dyDescent="0.35">
      <c r="A44" s="78" t="s">
        <v>301</v>
      </c>
    </row>
    <row r="46" spans="1:1" ht="28" x14ac:dyDescent="0.35">
      <c r="A46" s="74" t="s">
        <v>265</v>
      </c>
    </row>
    <row r="47" spans="1:1" ht="84" x14ac:dyDescent="0.35">
      <c r="A47" s="78" t="s">
        <v>266</v>
      </c>
    </row>
    <row r="48" spans="1:1" ht="196" x14ac:dyDescent="0.35">
      <c r="A48" s="78" t="s">
        <v>302</v>
      </c>
    </row>
    <row r="50" spans="1:1" ht="28" x14ac:dyDescent="0.35">
      <c r="A50" s="74" t="s">
        <v>267</v>
      </c>
    </row>
    <row r="51" spans="1:1" ht="168" x14ac:dyDescent="0.35">
      <c r="A51" s="78" t="s">
        <v>303</v>
      </c>
    </row>
    <row r="53" spans="1:1" ht="28" x14ac:dyDescent="0.35">
      <c r="A53" s="74" t="s">
        <v>268</v>
      </c>
    </row>
    <row r="54" spans="1:1" ht="168" x14ac:dyDescent="0.35">
      <c r="A54" s="78" t="s">
        <v>304</v>
      </c>
    </row>
    <row r="55" spans="1:1" ht="56" x14ac:dyDescent="0.35">
      <c r="A55" s="78" t="s">
        <v>269</v>
      </c>
    </row>
    <row r="57" spans="1:1" ht="28" x14ac:dyDescent="0.35">
      <c r="A57" s="74" t="s">
        <v>270</v>
      </c>
    </row>
    <row r="58" spans="1:1" ht="28" x14ac:dyDescent="0.35">
      <c r="A58" s="78" t="s">
        <v>271</v>
      </c>
    </row>
    <row r="59" spans="1:1" ht="28" x14ac:dyDescent="0.35">
      <c r="A59" s="78" t="s">
        <v>272</v>
      </c>
    </row>
    <row r="60" spans="1:1" ht="56" x14ac:dyDescent="0.35">
      <c r="A60" s="78" t="s">
        <v>305</v>
      </c>
    </row>
    <row r="61" spans="1:1" ht="56" x14ac:dyDescent="0.35">
      <c r="A61" s="78" t="s">
        <v>273</v>
      </c>
    </row>
    <row r="62" spans="1:1" ht="56" x14ac:dyDescent="0.35">
      <c r="A62" s="78" t="s">
        <v>274</v>
      </c>
    </row>
    <row r="63" spans="1:1" ht="56" x14ac:dyDescent="0.35">
      <c r="A63" s="78" t="s">
        <v>306</v>
      </c>
    </row>
    <row r="64" spans="1:1" ht="28" x14ac:dyDescent="0.35">
      <c r="A64" s="78" t="s">
        <v>275</v>
      </c>
    </row>
    <row r="65" spans="1:1" ht="56" x14ac:dyDescent="0.35">
      <c r="A65" s="78" t="s">
        <v>307</v>
      </c>
    </row>
    <row r="66" spans="1:1" ht="56" x14ac:dyDescent="0.35">
      <c r="A66" s="78" t="s">
        <v>276</v>
      </c>
    </row>
    <row r="68" spans="1:1" ht="28" x14ac:dyDescent="0.35">
      <c r="A68" s="74" t="s">
        <v>277</v>
      </c>
    </row>
    <row r="69" spans="1:1" ht="168" x14ac:dyDescent="0.35">
      <c r="A69" s="78" t="s">
        <v>308</v>
      </c>
    </row>
    <row r="71" spans="1:1" ht="28" x14ac:dyDescent="0.35">
      <c r="A71" s="74" t="s">
        <v>278</v>
      </c>
    </row>
    <row r="72" spans="1:1" ht="168" x14ac:dyDescent="0.35">
      <c r="A72" s="78" t="s">
        <v>309</v>
      </c>
    </row>
    <row r="73" spans="1:1" ht="112" x14ac:dyDescent="0.35">
      <c r="A73" s="78" t="s">
        <v>310</v>
      </c>
    </row>
    <row r="75" spans="1:1" ht="56" x14ac:dyDescent="0.35">
      <c r="A75" s="79" t="s">
        <v>279</v>
      </c>
    </row>
    <row r="77" spans="1:1" x14ac:dyDescent="0.35">
      <c r="A77" s="73" t="s">
        <v>311</v>
      </c>
    </row>
    <row r="78" spans="1:1" ht="28" x14ac:dyDescent="0.35">
      <c r="A78" s="78" t="s">
        <v>312</v>
      </c>
    </row>
    <row r="79" spans="1:1" ht="28" x14ac:dyDescent="0.35">
      <c r="A79" s="78" t="s">
        <v>313</v>
      </c>
    </row>
    <row r="80" spans="1:1" ht="28" x14ac:dyDescent="0.35">
      <c r="A80" s="78" t="s">
        <v>314</v>
      </c>
    </row>
    <row r="81" spans="1:1" ht="28" x14ac:dyDescent="0.35">
      <c r="A81" s="78" t="s">
        <v>315</v>
      </c>
    </row>
    <row r="82" spans="1:1" ht="28" x14ac:dyDescent="0.35">
      <c r="A82" s="78" t="s">
        <v>316</v>
      </c>
    </row>
    <row r="83" spans="1:1" ht="28" x14ac:dyDescent="0.35">
      <c r="A83" s="78" t="s">
        <v>317</v>
      </c>
    </row>
    <row r="84" spans="1:1" ht="28" x14ac:dyDescent="0.35">
      <c r="A84" s="78" t="s">
        <v>318</v>
      </c>
    </row>
    <row r="85" spans="1:1" ht="28" x14ac:dyDescent="0.35">
      <c r="A85" s="78" t="s">
        <v>319</v>
      </c>
    </row>
    <row r="86" spans="1:1" ht="28" x14ac:dyDescent="0.35">
      <c r="A86" s="78" t="s">
        <v>320</v>
      </c>
    </row>
    <row r="87" spans="1:1" ht="28" x14ac:dyDescent="0.35">
      <c r="A87" s="78" t="s">
        <v>321</v>
      </c>
    </row>
    <row r="88" spans="1:1" ht="28" x14ac:dyDescent="0.35">
      <c r="A88" s="78" t="s">
        <v>322</v>
      </c>
    </row>
    <row r="89" spans="1:1" ht="28" x14ac:dyDescent="0.35">
      <c r="A89" s="78" t="s">
        <v>323</v>
      </c>
    </row>
    <row r="90" spans="1:1" ht="28" x14ac:dyDescent="0.35">
      <c r="A90" s="78" t="s">
        <v>324</v>
      </c>
    </row>
    <row r="91" spans="1:1" ht="28" x14ac:dyDescent="0.35">
      <c r="A91" s="78" t="s">
        <v>325</v>
      </c>
    </row>
    <row r="92" spans="1:1" ht="28" x14ac:dyDescent="0.35">
      <c r="A92" s="78" t="s">
        <v>326</v>
      </c>
    </row>
    <row r="93" spans="1:1" ht="28" x14ac:dyDescent="0.35">
      <c r="A93" s="78" t="s">
        <v>327</v>
      </c>
    </row>
    <row r="94" spans="1:1" ht="28" x14ac:dyDescent="0.35">
      <c r="A94" s="78" t="s">
        <v>328</v>
      </c>
    </row>
    <row r="95" spans="1:1" ht="28" x14ac:dyDescent="0.35">
      <c r="A95" s="78" t="s">
        <v>329</v>
      </c>
    </row>
    <row r="96" spans="1:1" ht="28" x14ac:dyDescent="0.35">
      <c r="A96" s="78" t="s">
        <v>330</v>
      </c>
    </row>
    <row r="97" spans="1:1" ht="28" x14ac:dyDescent="0.35">
      <c r="A97" s="78" t="s">
        <v>331</v>
      </c>
    </row>
    <row r="98" spans="1:1" ht="28" x14ac:dyDescent="0.35">
      <c r="A98" s="78" t="s">
        <v>332</v>
      </c>
    </row>
    <row r="99" spans="1:1" ht="28" x14ac:dyDescent="0.35">
      <c r="A99" s="78" t="s">
        <v>333</v>
      </c>
    </row>
    <row r="100" spans="1:1" ht="28" x14ac:dyDescent="0.35">
      <c r="A100" s="78" t="s">
        <v>334</v>
      </c>
    </row>
    <row r="101" spans="1:1" ht="28" x14ac:dyDescent="0.35">
      <c r="A101" s="78" t="s">
        <v>335</v>
      </c>
    </row>
    <row r="102" spans="1:1" ht="28" x14ac:dyDescent="0.35">
      <c r="A102" s="78" t="s">
        <v>336</v>
      </c>
    </row>
    <row r="103" spans="1:1" ht="28" x14ac:dyDescent="0.35">
      <c r="A103" s="78" t="s">
        <v>337</v>
      </c>
    </row>
    <row r="104" spans="1:1" ht="28" x14ac:dyDescent="0.35">
      <c r="A104" s="78" t="s">
        <v>338</v>
      </c>
    </row>
    <row r="105" spans="1:1" ht="28" x14ac:dyDescent="0.35">
      <c r="A105" s="78" t="s">
        <v>339</v>
      </c>
    </row>
    <row r="106" spans="1:1" ht="28" x14ac:dyDescent="0.35">
      <c r="A106" s="78" t="s">
        <v>340</v>
      </c>
    </row>
    <row r="107" spans="1:1" ht="28" x14ac:dyDescent="0.35">
      <c r="A107" s="78" t="s">
        <v>341</v>
      </c>
    </row>
    <row r="108" spans="1:1" ht="28" x14ac:dyDescent="0.35">
      <c r="A108" s="78" t="s">
        <v>342</v>
      </c>
    </row>
    <row r="109" spans="1:1" ht="28" x14ac:dyDescent="0.35">
      <c r="A109" s="78" t="s">
        <v>343</v>
      </c>
    </row>
    <row r="110" spans="1:1" ht="28" x14ac:dyDescent="0.35">
      <c r="A110" s="78" t="s">
        <v>344</v>
      </c>
    </row>
    <row r="111" spans="1:1" ht="28" x14ac:dyDescent="0.35">
      <c r="A111" s="78" t="s">
        <v>345</v>
      </c>
    </row>
    <row r="112" spans="1:1" ht="28" x14ac:dyDescent="0.35">
      <c r="A112" s="78" t="s">
        <v>346</v>
      </c>
    </row>
    <row r="113" spans="1:1" ht="28" x14ac:dyDescent="0.35">
      <c r="A113" s="78" t="s">
        <v>347</v>
      </c>
    </row>
    <row r="114" spans="1:1" ht="28" x14ac:dyDescent="0.35">
      <c r="A114" s="78" t="s">
        <v>348</v>
      </c>
    </row>
    <row r="115" spans="1:1" ht="28" x14ac:dyDescent="0.35">
      <c r="A115" s="78" t="s">
        <v>349</v>
      </c>
    </row>
    <row r="116" spans="1:1" ht="28" x14ac:dyDescent="0.35">
      <c r="A116" s="78" t="s">
        <v>350</v>
      </c>
    </row>
    <row r="117" spans="1:1" ht="28" x14ac:dyDescent="0.35">
      <c r="A117" s="78" t="s">
        <v>351</v>
      </c>
    </row>
    <row r="118" spans="1:1" ht="28" x14ac:dyDescent="0.35">
      <c r="A118" s="78" t="s">
        <v>352</v>
      </c>
    </row>
    <row r="119" spans="1:1" ht="28" x14ac:dyDescent="0.35">
      <c r="A119" s="78" t="s">
        <v>353</v>
      </c>
    </row>
    <row r="120" spans="1:1" ht="28" x14ac:dyDescent="0.35">
      <c r="A120" s="78" t="s">
        <v>354</v>
      </c>
    </row>
    <row r="121" spans="1:1" ht="28" x14ac:dyDescent="0.35">
      <c r="A121" s="78" t="s">
        <v>355</v>
      </c>
    </row>
    <row r="122" spans="1:1" ht="28" x14ac:dyDescent="0.35">
      <c r="A122" s="78" t="s">
        <v>356</v>
      </c>
    </row>
    <row r="123" spans="1:1" ht="28" x14ac:dyDescent="0.35">
      <c r="A123" s="78" t="s">
        <v>357</v>
      </c>
    </row>
    <row r="124" spans="1:1" ht="28" x14ac:dyDescent="0.35">
      <c r="A124" s="78" t="s">
        <v>358</v>
      </c>
    </row>
    <row r="125" spans="1:1" ht="28" x14ac:dyDescent="0.35">
      <c r="A125" s="78" t="s">
        <v>359</v>
      </c>
    </row>
    <row r="126" spans="1:1" ht="28" x14ac:dyDescent="0.35">
      <c r="A126" s="78" t="s">
        <v>360</v>
      </c>
    </row>
    <row r="127" spans="1:1" ht="28" x14ac:dyDescent="0.35">
      <c r="A127" s="78" t="s">
        <v>361</v>
      </c>
    </row>
    <row r="128" spans="1:1" ht="28" x14ac:dyDescent="0.35">
      <c r="A128" s="78" t="s">
        <v>362</v>
      </c>
    </row>
    <row r="129" spans="1:1" ht="28" x14ac:dyDescent="0.35">
      <c r="A129" s="78" t="s">
        <v>363</v>
      </c>
    </row>
    <row r="130" spans="1:1" ht="28" x14ac:dyDescent="0.35">
      <c r="A130" s="78" t="s">
        <v>364</v>
      </c>
    </row>
    <row r="131" spans="1:1" ht="28" x14ac:dyDescent="0.35">
      <c r="A131" s="78" t="s">
        <v>365</v>
      </c>
    </row>
    <row r="132" spans="1:1" ht="28" x14ac:dyDescent="0.35">
      <c r="A132" s="78" t="s">
        <v>366</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ACD493-5CBC-874D-BA9D-9DD486A5DF28}">
  <sheetPr>
    <tabColor rgb="FF0070C0"/>
  </sheetPr>
  <dimension ref="A1:G85"/>
  <sheetViews>
    <sheetView workbookViewId="0">
      <selection activeCell="G11" sqref="G11"/>
    </sheetView>
  </sheetViews>
  <sheetFormatPr baseColWidth="10" defaultColWidth="30.33203125" defaultRowHeight="29" x14ac:dyDescent="0.35"/>
  <cols>
    <col min="1" max="1" width="46.6640625" style="68" customWidth="1"/>
    <col min="2" max="4" width="23.33203125" style="68" customWidth="1"/>
    <col min="5" max="5" width="30" style="68" customWidth="1"/>
    <col min="6" max="7" width="23.33203125" style="68" customWidth="1"/>
    <col min="8" max="16384" width="30.33203125" style="1"/>
  </cols>
  <sheetData>
    <row r="1" spans="1:7" x14ac:dyDescent="0.35">
      <c r="A1" s="176" t="s">
        <v>427</v>
      </c>
      <c r="B1" s="176"/>
      <c r="C1" s="176"/>
      <c r="D1" s="176"/>
      <c r="E1" s="176"/>
      <c r="F1" s="176"/>
      <c r="G1" s="176"/>
    </row>
    <row r="2" spans="1:7" x14ac:dyDescent="0.35">
      <c r="A2" s="173" t="s">
        <v>428</v>
      </c>
      <c r="B2" s="173"/>
      <c r="C2" s="173"/>
      <c r="D2" s="173"/>
      <c r="E2" s="173"/>
      <c r="F2" s="173"/>
      <c r="G2" s="173"/>
    </row>
    <row r="4" spans="1:7" x14ac:dyDescent="0.35">
      <c r="A4" s="176" t="s">
        <v>429</v>
      </c>
      <c r="B4" s="176"/>
      <c r="C4" s="176"/>
      <c r="D4" s="176"/>
      <c r="E4" s="176"/>
      <c r="F4" s="176"/>
      <c r="G4" s="176"/>
    </row>
    <row r="5" spans="1:7" ht="120" x14ac:dyDescent="0.35">
      <c r="A5" s="68" t="s">
        <v>57</v>
      </c>
      <c r="B5" s="84" t="s">
        <v>58</v>
      </c>
    </row>
    <row r="6" spans="1:7" ht="60" x14ac:dyDescent="0.35">
      <c r="A6" s="68" t="s">
        <v>430</v>
      </c>
      <c r="B6" s="85">
        <v>1000000000</v>
      </c>
    </row>
    <row r="7" spans="1:7" ht="60" x14ac:dyDescent="0.35">
      <c r="A7" s="68" t="s">
        <v>431</v>
      </c>
      <c r="B7" s="86">
        <v>0.1</v>
      </c>
    </row>
    <row r="8" spans="1:7" ht="30" x14ac:dyDescent="0.35">
      <c r="A8" s="68" t="s">
        <v>432</v>
      </c>
      <c r="B8" s="84">
        <v>5</v>
      </c>
    </row>
    <row r="9" spans="1:7" ht="120" x14ac:dyDescent="0.35">
      <c r="A9" s="68" t="s">
        <v>433</v>
      </c>
      <c r="B9" s="84" t="s">
        <v>434</v>
      </c>
    </row>
    <row r="10" spans="1:7" ht="60" x14ac:dyDescent="0.35">
      <c r="A10" s="68" t="s">
        <v>435</v>
      </c>
      <c r="B10" s="85">
        <v>20000000</v>
      </c>
    </row>
    <row r="11" spans="1:7" ht="60" x14ac:dyDescent="0.35">
      <c r="A11" s="68" t="s">
        <v>436</v>
      </c>
      <c r="B11" s="87">
        <f>B6-B10</f>
        <v>980000000</v>
      </c>
    </row>
    <row r="12" spans="1:7" ht="30" x14ac:dyDescent="0.35">
      <c r="A12" s="68" t="s">
        <v>184</v>
      </c>
      <c r="B12" s="88">
        <v>0.252</v>
      </c>
    </row>
    <row r="14" spans="1:7" x14ac:dyDescent="0.35">
      <c r="A14" s="176" t="s">
        <v>437</v>
      </c>
      <c r="B14" s="176"/>
      <c r="C14" s="176"/>
      <c r="D14" s="176"/>
      <c r="E14" s="176"/>
      <c r="F14" s="176"/>
      <c r="G14" s="176"/>
    </row>
    <row r="15" spans="1:7" x14ac:dyDescent="0.35">
      <c r="A15" s="173" t="s">
        <v>438</v>
      </c>
      <c r="B15" s="173"/>
      <c r="C15" s="173"/>
      <c r="D15" s="173"/>
      <c r="E15" s="173"/>
      <c r="F15" s="173"/>
      <c r="G15" s="173"/>
    </row>
    <row r="17" spans="1:7" ht="60" x14ac:dyDescent="0.35">
      <c r="A17" s="89" t="s">
        <v>64</v>
      </c>
      <c r="B17" s="89" t="s">
        <v>439</v>
      </c>
      <c r="C17" s="89" t="s">
        <v>440</v>
      </c>
      <c r="D17" s="89" t="s">
        <v>441</v>
      </c>
      <c r="E17" s="89" t="s">
        <v>442</v>
      </c>
      <c r="F17" s="89" t="s">
        <v>443</v>
      </c>
    </row>
    <row r="18" spans="1:7" ht="30" x14ac:dyDescent="0.35">
      <c r="A18" s="53">
        <v>0</v>
      </c>
      <c r="B18" s="90" t="s">
        <v>444</v>
      </c>
      <c r="C18" s="44"/>
      <c r="D18" s="44"/>
      <c r="E18" s="91">
        <f>-B11</f>
        <v>-980000000</v>
      </c>
      <c r="F18" s="92">
        <f>B6</f>
        <v>1000000000</v>
      </c>
    </row>
    <row r="19" spans="1:7" x14ac:dyDescent="0.35">
      <c r="A19" s="53">
        <v>1</v>
      </c>
      <c r="B19" s="92">
        <f>F18</f>
        <v>1000000000</v>
      </c>
      <c r="C19" s="92">
        <f>$B$6/$B$8</f>
        <v>200000000</v>
      </c>
      <c r="D19" s="92">
        <f>B19*$B$7</f>
        <v>100000000</v>
      </c>
      <c r="E19" s="92">
        <f>C19+D19</f>
        <v>300000000</v>
      </c>
      <c r="F19" s="92">
        <f>B19-C19</f>
        <v>800000000</v>
      </c>
    </row>
    <row r="20" spans="1:7" x14ac:dyDescent="0.35">
      <c r="A20" s="53">
        <v>2</v>
      </c>
      <c r="B20" s="92">
        <f>F19</f>
        <v>800000000</v>
      </c>
      <c r="C20" s="92">
        <f>$B$6/$B$8</f>
        <v>200000000</v>
      </c>
      <c r="D20" s="92">
        <f>B20*$B$7</f>
        <v>80000000</v>
      </c>
      <c r="E20" s="92">
        <f>C20+D20</f>
        <v>280000000</v>
      </c>
      <c r="F20" s="92">
        <f>B20-C20</f>
        <v>600000000</v>
      </c>
    </row>
    <row r="21" spans="1:7" x14ac:dyDescent="0.35">
      <c r="A21" s="53">
        <v>3</v>
      </c>
      <c r="B21" s="92">
        <f>F20</f>
        <v>600000000</v>
      </c>
      <c r="C21" s="92">
        <f>$B$6/$B$8</f>
        <v>200000000</v>
      </c>
      <c r="D21" s="92">
        <f>B21*$B$7</f>
        <v>60000000</v>
      </c>
      <c r="E21" s="92">
        <f>C21+D21</f>
        <v>260000000</v>
      </c>
      <c r="F21" s="92">
        <f>B21-C21</f>
        <v>400000000</v>
      </c>
    </row>
    <row r="22" spans="1:7" x14ac:dyDescent="0.35">
      <c r="A22" s="53">
        <v>4</v>
      </c>
      <c r="B22" s="92">
        <f>F21</f>
        <v>400000000</v>
      </c>
      <c r="C22" s="92">
        <f>$B$6/$B$8</f>
        <v>200000000</v>
      </c>
      <c r="D22" s="92">
        <f>B22*$B$7</f>
        <v>40000000</v>
      </c>
      <c r="E22" s="92">
        <f>C22+D22</f>
        <v>240000000</v>
      </c>
      <c r="F22" s="92">
        <f>B22-C22</f>
        <v>200000000</v>
      </c>
    </row>
    <row r="23" spans="1:7" x14ac:dyDescent="0.35">
      <c r="A23" s="53">
        <v>5</v>
      </c>
      <c r="B23" s="92">
        <f>F22</f>
        <v>200000000</v>
      </c>
      <c r="C23" s="92">
        <f>$B$6/$B$8</f>
        <v>200000000</v>
      </c>
      <c r="D23" s="92">
        <f>B23*$B$7</f>
        <v>20000000</v>
      </c>
      <c r="E23" s="92">
        <f>C23+D23</f>
        <v>220000000</v>
      </c>
      <c r="F23" s="92">
        <f>B23-C23</f>
        <v>0</v>
      </c>
    </row>
    <row r="25" spans="1:7" ht="60" x14ac:dyDescent="0.35">
      <c r="A25" s="68" t="s">
        <v>445</v>
      </c>
      <c r="B25" s="93">
        <f>IRR(E18:E23)</f>
        <v>0.10840859373904732</v>
      </c>
    </row>
    <row r="26" spans="1:7" ht="30" x14ac:dyDescent="0.35">
      <c r="A26" s="68" t="s">
        <v>446</v>
      </c>
      <c r="B26" s="94">
        <f>B7</f>
        <v>0.1</v>
      </c>
    </row>
    <row r="27" spans="1:7" ht="60" x14ac:dyDescent="0.35">
      <c r="A27" s="68" t="s">
        <v>447</v>
      </c>
      <c r="B27" s="95">
        <f>B25-B26</f>
        <v>8.4085937390473153E-3</v>
      </c>
    </row>
    <row r="28" spans="1:7" x14ac:dyDescent="0.35">
      <c r="A28" s="172" t="s">
        <v>448</v>
      </c>
      <c r="B28" s="172"/>
      <c r="C28" s="172"/>
      <c r="D28" s="172"/>
      <c r="E28" s="172"/>
      <c r="F28" s="172"/>
      <c r="G28" s="172"/>
    </row>
    <row r="30" spans="1:7" x14ac:dyDescent="0.35">
      <c r="A30" s="176" t="s">
        <v>450</v>
      </c>
      <c r="B30" s="176"/>
      <c r="C30" s="176"/>
      <c r="D30" s="176"/>
      <c r="E30" s="176"/>
      <c r="F30" s="176"/>
      <c r="G30" s="176"/>
    </row>
    <row r="31" spans="1:7" x14ac:dyDescent="0.35">
      <c r="A31" s="173" t="s">
        <v>451</v>
      </c>
      <c r="B31" s="173"/>
      <c r="C31" s="173"/>
      <c r="D31" s="173"/>
      <c r="E31" s="173"/>
      <c r="F31" s="173"/>
      <c r="G31" s="173"/>
    </row>
    <row r="32" spans="1:7" ht="90" x14ac:dyDescent="0.35">
      <c r="A32" s="89" t="s">
        <v>64</v>
      </c>
      <c r="B32" s="89" t="s">
        <v>452</v>
      </c>
      <c r="C32" s="89" t="s">
        <v>453</v>
      </c>
      <c r="D32" s="89" t="s">
        <v>454</v>
      </c>
      <c r="E32" s="89" t="s">
        <v>455</v>
      </c>
      <c r="F32" s="89" t="s">
        <v>456</v>
      </c>
      <c r="G32" s="89" t="s">
        <v>457</v>
      </c>
    </row>
    <row r="33" spans="1:7" x14ac:dyDescent="0.35">
      <c r="A33" s="53">
        <v>1</v>
      </c>
      <c r="B33" s="92">
        <f>B11</f>
        <v>980000000</v>
      </c>
      <c r="C33" s="92">
        <f>B33*$B$25</f>
        <v>106240421.86426638</v>
      </c>
      <c r="D33" s="92">
        <f>E19</f>
        <v>300000000</v>
      </c>
      <c r="E33" s="92">
        <f>B33+C33-D33</f>
        <v>786240421.8642664</v>
      </c>
      <c r="F33" s="92">
        <f>D19</f>
        <v>100000000</v>
      </c>
      <c r="G33" s="96">
        <f>C33-F33</f>
        <v>6240421.8642663807</v>
      </c>
    </row>
    <row r="34" spans="1:7" x14ac:dyDescent="0.35">
      <c r="A34" s="53">
        <v>2</v>
      </c>
      <c r="B34" s="92">
        <f>E33</f>
        <v>786240421.8642664</v>
      </c>
      <c r="C34" s="92">
        <f>B34*$B$25</f>
        <v>85235218.475100428</v>
      </c>
      <c r="D34" s="92">
        <f>E20</f>
        <v>280000000</v>
      </c>
      <c r="E34" s="92">
        <f>B34+C34-D34</f>
        <v>591475640.33936679</v>
      </c>
      <c r="F34" s="92">
        <f>D20</f>
        <v>80000000</v>
      </c>
      <c r="G34" s="96">
        <f>C34-F34</f>
        <v>5235218.4751004279</v>
      </c>
    </row>
    <row r="35" spans="1:7" x14ac:dyDescent="0.35">
      <c r="A35" s="53">
        <v>3</v>
      </c>
      <c r="B35" s="92">
        <f>E34</f>
        <v>591475640.33936679</v>
      </c>
      <c r="C35" s="92">
        <f>B35*$B$25</f>
        <v>64121042.400093287</v>
      </c>
      <c r="D35" s="92">
        <f>E21</f>
        <v>260000000</v>
      </c>
      <c r="E35" s="92">
        <f>B35+C35-D35</f>
        <v>395596682.73946011</v>
      </c>
      <c r="F35" s="92">
        <f>D21</f>
        <v>60000000</v>
      </c>
      <c r="G35" s="96">
        <f>C35-F35</f>
        <v>4121042.4000932872</v>
      </c>
    </row>
    <row r="36" spans="1:7" x14ac:dyDescent="0.35">
      <c r="A36" s="53">
        <v>4</v>
      </c>
      <c r="B36" s="92">
        <f>E35</f>
        <v>395596682.73946011</v>
      </c>
      <c r="C36" s="92">
        <f>B36*$B$25</f>
        <v>42886080.063616924</v>
      </c>
      <c r="D36" s="92">
        <f>E22</f>
        <v>240000000</v>
      </c>
      <c r="E36" s="92">
        <f>B36+C36-D36</f>
        <v>198482762.80307704</v>
      </c>
      <c r="F36" s="92">
        <f>D22</f>
        <v>40000000</v>
      </c>
      <c r="G36" s="96">
        <f>C36-F36</f>
        <v>2886080.063616924</v>
      </c>
    </row>
    <row r="37" spans="1:7" x14ac:dyDescent="0.35">
      <c r="A37" s="53">
        <v>5</v>
      </c>
      <c r="B37" s="92">
        <f>E36</f>
        <v>198482762.80307704</v>
      </c>
      <c r="C37" s="92">
        <f>B37*$B$25</f>
        <v>21517237.196922474</v>
      </c>
      <c r="D37" s="92">
        <f>E23</f>
        <v>220000000</v>
      </c>
      <c r="E37" s="92">
        <f>B37+C37-D37</f>
        <v>-4.76837158203125E-7</v>
      </c>
      <c r="F37" s="92">
        <f>D23</f>
        <v>20000000</v>
      </c>
      <c r="G37" s="96">
        <f>C37-F37</f>
        <v>1517237.1969224736</v>
      </c>
    </row>
    <row r="38" spans="1:7" ht="30" x14ac:dyDescent="0.35">
      <c r="A38" s="97" t="s">
        <v>458</v>
      </c>
      <c r="B38" s="44"/>
      <c r="C38" s="98">
        <f>SUM(C33:C37)</f>
        <v>319999999.99999946</v>
      </c>
      <c r="D38" s="44"/>
      <c r="E38" s="44"/>
      <c r="F38" s="99">
        <f>SUM(F33:F37)</f>
        <v>300000000</v>
      </c>
      <c r="G38" s="100">
        <f>SUM(G33:G37)</f>
        <v>19999999.999999493</v>
      </c>
    </row>
    <row r="39" spans="1:7" ht="60" x14ac:dyDescent="0.35">
      <c r="A39" s="83" t="s">
        <v>459</v>
      </c>
      <c r="G39" s="101">
        <f>B10</f>
        <v>20000000</v>
      </c>
    </row>
    <row r="41" spans="1:7" x14ac:dyDescent="0.35">
      <c r="A41" s="171" t="s">
        <v>460</v>
      </c>
      <c r="B41" s="171"/>
      <c r="C41" s="171"/>
      <c r="D41" s="171"/>
      <c r="E41" s="171"/>
      <c r="F41" s="171"/>
      <c r="G41" s="171"/>
    </row>
    <row r="42" spans="1:7" x14ac:dyDescent="0.35">
      <c r="A42" s="173" t="s">
        <v>461</v>
      </c>
      <c r="B42" s="173"/>
      <c r="C42" s="173"/>
      <c r="D42" s="173"/>
      <c r="E42" s="173"/>
      <c r="F42" s="173"/>
      <c r="G42" s="173"/>
    </row>
    <row r="43" spans="1:7" ht="60" x14ac:dyDescent="0.35">
      <c r="A43" s="89" t="s">
        <v>64</v>
      </c>
      <c r="B43" s="89" t="s">
        <v>67</v>
      </c>
      <c r="C43" s="89" t="s">
        <v>462</v>
      </c>
      <c r="D43" s="89" t="s">
        <v>463</v>
      </c>
      <c r="E43" s="89" t="s">
        <v>464</v>
      </c>
      <c r="F43" s="89" t="s">
        <v>69</v>
      </c>
    </row>
    <row r="44" spans="1:7" x14ac:dyDescent="0.35">
      <c r="A44" s="53">
        <v>1</v>
      </c>
      <c r="B44" s="92">
        <f>B33</f>
        <v>980000000</v>
      </c>
      <c r="C44" s="102">
        <v>1.2E-2</v>
      </c>
      <c r="D44" s="103">
        <v>0.4</v>
      </c>
      <c r="E44" s="104">
        <f>1/(1+$B$25)^A44</f>
        <v>0.9021943763776249</v>
      </c>
      <c r="F44" s="92">
        <f>B44*C44*D44*E44</f>
        <v>4243922.3464803472</v>
      </c>
    </row>
    <row r="45" spans="1:7" x14ac:dyDescent="0.35">
      <c r="A45" s="53">
        <v>2</v>
      </c>
      <c r="B45" s="92">
        <f>B34</f>
        <v>786240421.8642664</v>
      </c>
      <c r="C45" s="102">
        <v>2.5000000000000001E-2</v>
      </c>
      <c r="D45" s="103">
        <v>0.4</v>
      </c>
      <c r="E45" s="104">
        <f>1/(1+$B$25)^A45</f>
        <v>0.8139546927674115</v>
      </c>
      <c r="F45" s="92">
        <f>B45*C45*D45*E45</f>
        <v>6399640.8101984896</v>
      </c>
    </row>
    <row r="46" spans="1:7" x14ac:dyDescent="0.35">
      <c r="A46" s="53">
        <v>3</v>
      </c>
      <c r="B46" s="92">
        <f>B35</f>
        <v>591475640.33936679</v>
      </c>
      <c r="C46" s="102">
        <v>0.03</v>
      </c>
      <c r="D46" s="103">
        <v>0.4</v>
      </c>
      <c r="E46" s="104">
        <f>1/(1+$B$25)^A46</f>
        <v>0.73434534644093608</v>
      </c>
      <c r="F46" s="92">
        <f>B46*C46*D46*E46</f>
        <v>5212168.6081966413</v>
      </c>
    </row>
    <row r="47" spans="1:7" x14ac:dyDescent="0.35">
      <c r="A47" s="53">
        <v>4</v>
      </c>
      <c r="B47" s="92">
        <f>B36</f>
        <v>395596682.73946011</v>
      </c>
      <c r="C47" s="102">
        <v>2.5000000000000001E-2</v>
      </c>
      <c r="D47" s="103">
        <v>0.4</v>
      </c>
      <c r="E47" s="104">
        <f>1/(1+$B$25)^A47</f>
        <v>0.66252224187809117</v>
      </c>
      <c r="F47" s="92">
        <f>B47*C47*D47*E47</f>
        <v>2620916.0112808309</v>
      </c>
    </row>
    <row r="48" spans="1:7" x14ac:dyDescent="0.35">
      <c r="A48" s="53">
        <v>5</v>
      </c>
      <c r="B48" s="92">
        <f>B37</f>
        <v>198482762.80307704</v>
      </c>
      <c r="C48" s="102">
        <v>0.02</v>
      </c>
      <c r="D48" s="103">
        <v>0.4</v>
      </c>
      <c r="E48" s="104">
        <f>1/(1+$B$25)^A48</f>
        <v>0.59772384084751051</v>
      </c>
      <c r="F48" s="92">
        <f>B48*C48*D48*E48</f>
        <v>949103.03459744493</v>
      </c>
    </row>
    <row r="50" spans="1:7" x14ac:dyDescent="0.35">
      <c r="A50" s="171" t="s">
        <v>465</v>
      </c>
      <c r="B50" s="171"/>
      <c r="C50" s="171"/>
      <c r="D50" s="171"/>
      <c r="E50" s="171"/>
      <c r="F50" s="171"/>
      <c r="G50" s="171"/>
    </row>
    <row r="52" spans="1:7" x14ac:dyDescent="0.35">
      <c r="A52" s="174" t="s">
        <v>466</v>
      </c>
      <c r="B52" s="174"/>
      <c r="C52" s="174"/>
      <c r="D52" s="174"/>
      <c r="E52" s="174"/>
      <c r="F52" s="174"/>
      <c r="G52" s="174"/>
    </row>
    <row r="53" spans="1:7" ht="30" x14ac:dyDescent="0.35">
      <c r="A53" s="68" t="s">
        <v>467</v>
      </c>
      <c r="B53" s="105">
        <f>F44</f>
        <v>4243922.3464803472</v>
      </c>
    </row>
    <row r="54" spans="1:7" ht="60" x14ac:dyDescent="0.35">
      <c r="A54" s="68" t="s">
        <v>468</v>
      </c>
      <c r="B54" s="106">
        <f>0.4%*B44</f>
        <v>3920000</v>
      </c>
    </row>
    <row r="55" spans="1:7" ht="60" x14ac:dyDescent="0.35">
      <c r="A55" s="68" t="s">
        <v>469</v>
      </c>
      <c r="B55" s="107">
        <f>MAX(B53,B54)</f>
        <v>4243922.3464803472</v>
      </c>
    </row>
    <row r="57" spans="1:7" x14ac:dyDescent="0.35">
      <c r="A57" s="175" t="s">
        <v>470</v>
      </c>
      <c r="B57" s="175"/>
      <c r="C57" s="175"/>
      <c r="D57" s="175"/>
      <c r="E57" s="175"/>
      <c r="F57" s="175"/>
      <c r="G57" s="175"/>
    </row>
    <row r="58" spans="1:7" ht="60" x14ac:dyDescent="0.35">
      <c r="A58" s="68" t="s">
        <v>471</v>
      </c>
      <c r="B58" s="105">
        <f>SUM(F44:F48)</f>
        <v>19425750.810753755</v>
      </c>
    </row>
    <row r="59" spans="1:7" ht="60" x14ac:dyDescent="0.35">
      <c r="A59" s="68" t="s">
        <v>472</v>
      </c>
      <c r="B59" s="106">
        <f>5%*B44</f>
        <v>49000000</v>
      </c>
    </row>
    <row r="60" spans="1:7" ht="60" x14ac:dyDescent="0.35">
      <c r="A60" s="68" t="s">
        <v>473</v>
      </c>
      <c r="B60" s="107">
        <f>MAX(B58,B59)</f>
        <v>49000000</v>
      </c>
    </row>
    <row r="62" spans="1:7" x14ac:dyDescent="0.35">
      <c r="A62" s="169" t="s">
        <v>474</v>
      </c>
      <c r="B62" s="169"/>
      <c r="C62" s="169"/>
      <c r="D62" s="169"/>
      <c r="E62" s="169"/>
      <c r="F62" s="169"/>
      <c r="G62" s="169"/>
    </row>
    <row r="63" spans="1:7" ht="60" x14ac:dyDescent="0.35">
      <c r="A63" s="68" t="s">
        <v>475</v>
      </c>
      <c r="B63" s="105">
        <f>E34</f>
        <v>591475640.33936679</v>
      </c>
    </row>
    <row r="64" spans="1:7" ht="60" x14ac:dyDescent="0.35">
      <c r="A64" s="68" t="s">
        <v>481</v>
      </c>
      <c r="B64" s="108">
        <v>0.7</v>
      </c>
    </row>
    <row r="65" spans="1:7" ht="60" x14ac:dyDescent="0.35">
      <c r="A65" s="68" t="s">
        <v>482</v>
      </c>
      <c r="B65" s="105">
        <f>B64*B63</f>
        <v>414032948.23755676</v>
      </c>
    </row>
    <row r="66" spans="1:7" ht="30" x14ac:dyDescent="0.35">
      <c r="A66" s="68" t="s">
        <v>172</v>
      </c>
      <c r="B66" s="85">
        <f>B63-B65</f>
        <v>177442692.10181004</v>
      </c>
    </row>
    <row r="67" spans="1:7" ht="30" x14ac:dyDescent="0.35">
      <c r="A67" s="68" t="s">
        <v>476</v>
      </c>
      <c r="B67" s="85">
        <v>1</v>
      </c>
    </row>
    <row r="68" spans="1:7" ht="60" x14ac:dyDescent="0.35">
      <c r="A68" s="68" t="s">
        <v>477</v>
      </c>
      <c r="B68" s="106">
        <f>25%*B65+40%*B66</f>
        <v>174485313.90011322</v>
      </c>
    </row>
    <row r="69" spans="1:7" ht="60" x14ac:dyDescent="0.35">
      <c r="A69" s="68" t="s">
        <v>478</v>
      </c>
      <c r="B69" s="109">
        <v>200000000</v>
      </c>
    </row>
    <row r="70" spans="1:7" ht="60" x14ac:dyDescent="0.35">
      <c r="A70" s="110" t="s">
        <v>479</v>
      </c>
      <c r="B70" s="107">
        <f>MAX(B68,B69)</f>
        <v>200000000</v>
      </c>
    </row>
    <row r="71" spans="1:7" x14ac:dyDescent="0.35">
      <c r="A71" s="170" t="s">
        <v>480</v>
      </c>
      <c r="B71" s="170"/>
      <c r="C71" s="170"/>
      <c r="D71" s="170"/>
      <c r="E71" s="170"/>
      <c r="F71" s="170"/>
      <c r="G71" s="170"/>
    </row>
    <row r="73" spans="1:7" x14ac:dyDescent="0.35">
      <c r="A73" s="171" t="s">
        <v>483</v>
      </c>
      <c r="B73" s="171"/>
      <c r="C73" s="171"/>
      <c r="D73" s="171"/>
      <c r="E73" s="171"/>
      <c r="F73" s="171"/>
      <c r="G73" s="171"/>
    </row>
    <row r="74" spans="1:7" ht="60" x14ac:dyDescent="0.35">
      <c r="A74" s="89" t="s">
        <v>42</v>
      </c>
      <c r="B74" s="89" t="s">
        <v>147</v>
      </c>
      <c r="C74" s="89" t="s">
        <v>484</v>
      </c>
      <c r="D74" s="89" t="s">
        <v>485</v>
      </c>
      <c r="E74" s="89" t="s">
        <v>486</v>
      </c>
    </row>
    <row r="75" spans="1:7" ht="30" x14ac:dyDescent="0.35">
      <c r="A75" s="111" t="s">
        <v>487</v>
      </c>
      <c r="B75" s="92">
        <f>B55</f>
        <v>4243922.3464803472</v>
      </c>
      <c r="C75" s="92">
        <f>B75</f>
        <v>4243922.3464803472</v>
      </c>
      <c r="D75" s="96">
        <f>C75*$B$12</f>
        <v>1069468.4313130474</v>
      </c>
      <c r="E75" s="112">
        <f>C75-D75</f>
        <v>3174453.9151673</v>
      </c>
    </row>
    <row r="76" spans="1:7" ht="30" x14ac:dyDescent="0.35">
      <c r="A76" s="113" t="s">
        <v>488</v>
      </c>
      <c r="B76" s="92">
        <f>B60</f>
        <v>49000000</v>
      </c>
      <c r="C76" s="92">
        <f>B76-B75</f>
        <v>44756077.653519653</v>
      </c>
      <c r="D76" s="96">
        <f>C76*$B$12</f>
        <v>11278531.568686953</v>
      </c>
      <c r="E76" s="112">
        <f>C76-D76</f>
        <v>33477546.084832698</v>
      </c>
    </row>
    <row r="77" spans="1:7" ht="30" x14ac:dyDescent="0.35">
      <c r="A77" s="114" t="s">
        <v>489</v>
      </c>
      <c r="B77" s="92">
        <f>B70</f>
        <v>200000000</v>
      </c>
      <c r="C77" s="92">
        <f>B77-B76</f>
        <v>151000000</v>
      </c>
      <c r="D77" s="96">
        <f>C77*$B$12</f>
        <v>38052000</v>
      </c>
      <c r="E77" s="112">
        <f>C77-D77</f>
        <v>112948000</v>
      </c>
    </row>
    <row r="78" spans="1:7" ht="30" x14ac:dyDescent="0.35">
      <c r="A78" s="97" t="s">
        <v>490</v>
      </c>
      <c r="B78" s="44"/>
      <c r="C78" s="98">
        <f>SUM(C75:C77)</f>
        <v>200000000</v>
      </c>
      <c r="D78" s="98">
        <f>SUM(D75:D77)</f>
        <v>50400000</v>
      </c>
      <c r="E78" s="115">
        <f>SUM(E75:E77)</f>
        <v>149600000</v>
      </c>
    </row>
    <row r="80" spans="1:7" x14ac:dyDescent="0.35">
      <c r="A80" s="171" t="s">
        <v>491</v>
      </c>
      <c r="B80" s="171"/>
      <c r="C80" s="171"/>
      <c r="D80" s="171"/>
      <c r="E80" s="171"/>
      <c r="F80" s="171"/>
      <c r="G80" s="171"/>
    </row>
    <row r="81" spans="1:7" x14ac:dyDescent="0.35">
      <c r="A81" s="167" t="s">
        <v>492</v>
      </c>
      <c r="B81" s="167"/>
      <c r="C81" s="167"/>
      <c r="D81" s="167"/>
      <c r="E81" s="167"/>
      <c r="F81" s="167"/>
      <c r="G81" s="167"/>
    </row>
    <row r="82" spans="1:7" x14ac:dyDescent="0.35">
      <c r="A82" s="167" t="s">
        <v>493</v>
      </c>
      <c r="B82" s="167"/>
      <c r="C82" s="167"/>
      <c r="D82" s="167"/>
      <c r="E82" s="167"/>
      <c r="F82" s="167"/>
      <c r="G82" s="167"/>
    </row>
    <row r="83" spans="1:7" x14ac:dyDescent="0.35">
      <c r="A83" s="167" t="s">
        <v>494</v>
      </c>
      <c r="B83" s="167"/>
      <c r="C83" s="167"/>
      <c r="D83" s="167"/>
      <c r="E83" s="167"/>
      <c r="F83" s="167"/>
      <c r="G83" s="167"/>
    </row>
    <row r="84" spans="1:7" x14ac:dyDescent="0.35">
      <c r="A84" s="167" t="s">
        <v>495</v>
      </c>
      <c r="B84" s="167"/>
      <c r="C84" s="167"/>
      <c r="D84" s="167"/>
      <c r="E84" s="167"/>
      <c r="F84" s="167"/>
      <c r="G84" s="167"/>
    </row>
    <row r="85" spans="1:7" x14ac:dyDescent="0.35">
      <c r="A85" s="167" t="s">
        <v>496</v>
      </c>
      <c r="B85" s="167"/>
      <c r="C85" s="167"/>
      <c r="D85" s="167"/>
      <c r="E85" s="167"/>
      <c r="F85" s="167"/>
      <c r="G85" s="167"/>
    </row>
  </sheetData>
  <mergeCells count="22">
    <mergeCell ref="A1:G1"/>
    <mergeCell ref="A2:G2"/>
    <mergeCell ref="A4:G4"/>
    <mergeCell ref="A14:G14"/>
    <mergeCell ref="A15:G15"/>
    <mergeCell ref="A28:G28"/>
    <mergeCell ref="A81:G81"/>
    <mergeCell ref="A31:G31"/>
    <mergeCell ref="A41:G41"/>
    <mergeCell ref="A42:G42"/>
    <mergeCell ref="A50:G50"/>
    <mergeCell ref="A52:G52"/>
    <mergeCell ref="A57:G57"/>
    <mergeCell ref="A30:G30"/>
    <mergeCell ref="A82:G82"/>
    <mergeCell ref="A83:G83"/>
    <mergeCell ref="A84:G84"/>
    <mergeCell ref="A85:G85"/>
    <mergeCell ref="A62:G62"/>
    <mergeCell ref="A71:G71"/>
    <mergeCell ref="A73:G73"/>
    <mergeCell ref="A80:G80"/>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3754C7-75DC-C14A-8A56-2A0C4316A72C}">
  <sheetPr>
    <tabColor rgb="FF00B050"/>
  </sheetPr>
  <dimension ref="A1:O82"/>
  <sheetViews>
    <sheetView topLeftCell="A12" workbookViewId="0">
      <selection activeCell="A2" sqref="A2:O2"/>
    </sheetView>
  </sheetViews>
  <sheetFormatPr baseColWidth="10" defaultRowHeight="29" x14ac:dyDescent="0.35"/>
  <cols>
    <col min="1" max="1" width="53.33203125" style="68" customWidth="1"/>
    <col min="2" max="2" width="29.33203125" style="68" customWidth="1"/>
    <col min="3" max="15" width="15.83203125" style="68" customWidth="1"/>
    <col min="16" max="16384" width="10.83203125" style="1"/>
  </cols>
  <sheetData>
    <row r="1" spans="1:15" x14ac:dyDescent="0.35">
      <c r="A1" s="178">
        <v>0.01</v>
      </c>
      <c r="B1" s="178"/>
      <c r="C1" s="178"/>
      <c r="D1" s="178"/>
      <c r="E1" s="178"/>
      <c r="F1" s="178"/>
      <c r="G1" s="178"/>
      <c r="H1" s="178"/>
      <c r="I1" s="178"/>
      <c r="J1" s="178"/>
      <c r="K1" s="178"/>
      <c r="L1" s="178"/>
      <c r="M1" s="178"/>
      <c r="N1" s="178"/>
      <c r="O1" s="178"/>
    </row>
    <row r="2" spans="1:15" ht="63" customHeight="1" x14ac:dyDescent="0.35">
      <c r="A2" s="166" t="s">
        <v>497</v>
      </c>
      <c r="B2" s="166"/>
      <c r="C2" s="166"/>
      <c r="D2" s="166"/>
      <c r="E2" s="166"/>
      <c r="F2" s="166"/>
      <c r="G2" s="166"/>
      <c r="H2" s="166"/>
      <c r="I2" s="166"/>
      <c r="J2" s="166"/>
      <c r="K2" s="166"/>
      <c r="L2" s="166"/>
      <c r="M2" s="166"/>
      <c r="N2" s="166"/>
      <c r="O2" s="166"/>
    </row>
    <row r="4" spans="1:15" x14ac:dyDescent="0.35">
      <c r="A4" s="178" t="s">
        <v>498</v>
      </c>
      <c r="B4" s="178"/>
      <c r="C4" s="178"/>
      <c r="D4" s="178"/>
      <c r="E4" s="178"/>
      <c r="F4" s="178"/>
      <c r="G4" s="178"/>
      <c r="H4" s="178"/>
      <c r="I4" s="178"/>
      <c r="J4" s="178"/>
      <c r="K4" s="178"/>
      <c r="L4" s="178"/>
      <c r="M4" s="178"/>
      <c r="N4" s="178"/>
      <c r="O4" s="178"/>
    </row>
    <row r="5" spans="1:15" ht="90" x14ac:dyDescent="0.35">
      <c r="A5" s="116" t="s">
        <v>499</v>
      </c>
      <c r="B5" s="116" t="s">
        <v>500</v>
      </c>
      <c r="C5" s="116" t="s">
        <v>501</v>
      </c>
      <c r="D5" s="116" t="s">
        <v>502</v>
      </c>
      <c r="E5" s="116" t="s">
        <v>503</v>
      </c>
      <c r="F5" s="116" t="s">
        <v>42</v>
      </c>
      <c r="G5" s="116" t="s">
        <v>504</v>
      </c>
      <c r="H5" s="116" t="s">
        <v>505</v>
      </c>
      <c r="I5" s="116" t="s">
        <v>506</v>
      </c>
      <c r="J5" s="116" t="s">
        <v>66</v>
      </c>
      <c r="K5" s="116" t="s">
        <v>507</v>
      </c>
      <c r="L5" s="116" t="s">
        <v>508</v>
      </c>
      <c r="M5" s="116" t="s">
        <v>509</v>
      </c>
      <c r="N5" s="116" t="s">
        <v>510</v>
      </c>
      <c r="O5" s="116" t="s">
        <v>511</v>
      </c>
    </row>
    <row r="6" spans="1:15" ht="90" x14ac:dyDescent="0.35">
      <c r="A6" s="44" t="s">
        <v>512</v>
      </c>
      <c r="B6" s="44" t="s">
        <v>513</v>
      </c>
      <c r="C6" s="117">
        <v>1500</v>
      </c>
      <c r="D6" s="102">
        <v>0.1</v>
      </c>
      <c r="E6" s="102">
        <v>0.1085</v>
      </c>
      <c r="F6" s="118" t="s">
        <v>46</v>
      </c>
      <c r="G6" s="53" t="s">
        <v>514</v>
      </c>
      <c r="H6" s="119">
        <v>1</v>
      </c>
      <c r="I6" s="102">
        <v>1.2E-2</v>
      </c>
      <c r="J6" s="119">
        <v>0.4</v>
      </c>
      <c r="K6" s="120">
        <f>C6*I6*J6</f>
        <v>7.2</v>
      </c>
      <c r="L6" s="121">
        <v>4.0000000000000001E-3</v>
      </c>
      <c r="M6" s="120">
        <f>C6*L6</f>
        <v>6</v>
      </c>
      <c r="N6" s="122">
        <f t="shared" ref="N6:N11" si="0">MAX(K6,M6)</f>
        <v>7.2</v>
      </c>
      <c r="O6" s="121">
        <f t="shared" ref="O6:O11" si="1">N6/C6</f>
        <v>4.8000000000000004E-3</v>
      </c>
    </row>
    <row r="7" spans="1:15" ht="60" x14ac:dyDescent="0.35">
      <c r="A7" s="44" t="s">
        <v>515</v>
      </c>
      <c r="B7" s="44" t="s">
        <v>516</v>
      </c>
      <c r="C7" s="117">
        <v>800</v>
      </c>
      <c r="D7" s="102">
        <v>0.105</v>
      </c>
      <c r="E7" s="102">
        <v>0.108</v>
      </c>
      <c r="F7" s="123" t="s">
        <v>50</v>
      </c>
      <c r="G7" s="53" t="s">
        <v>514</v>
      </c>
      <c r="H7" s="119">
        <v>0.8</v>
      </c>
      <c r="I7" s="102">
        <v>8.5000000000000006E-2</v>
      </c>
      <c r="J7" s="119">
        <v>0.45</v>
      </c>
      <c r="K7" s="120">
        <f>C7*I7*J7</f>
        <v>30.6</v>
      </c>
      <c r="L7" s="121">
        <v>0.05</v>
      </c>
      <c r="M7" s="120">
        <f>C7*L7</f>
        <v>40</v>
      </c>
      <c r="N7" s="122">
        <f t="shared" si="0"/>
        <v>40</v>
      </c>
      <c r="O7" s="121">
        <f t="shared" si="1"/>
        <v>0.05</v>
      </c>
    </row>
    <row r="8" spans="1:15" ht="60" x14ac:dyDescent="0.35">
      <c r="A8" s="44" t="s">
        <v>517</v>
      </c>
      <c r="B8" s="44" t="s">
        <v>518</v>
      </c>
      <c r="C8" s="117">
        <v>1200</v>
      </c>
      <c r="D8" s="102">
        <v>8.5000000000000006E-2</v>
      </c>
      <c r="E8" s="102">
        <v>8.7499999999999994E-2</v>
      </c>
      <c r="F8" s="118" t="s">
        <v>46</v>
      </c>
      <c r="G8" s="53" t="s">
        <v>514</v>
      </c>
      <c r="H8" s="119">
        <v>1</v>
      </c>
      <c r="I8" s="102">
        <v>5.0000000000000001E-3</v>
      </c>
      <c r="J8" s="119">
        <v>0.3</v>
      </c>
      <c r="K8" s="120">
        <f>C8*I8*J8</f>
        <v>1.7999999999999998</v>
      </c>
      <c r="L8" s="121">
        <v>2.5000000000000001E-3</v>
      </c>
      <c r="M8" s="120">
        <f>C8*L8</f>
        <v>3</v>
      </c>
      <c r="N8" s="122">
        <f t="shared" si="0"/>
        <v>3</v>
      </c>
      <c r="O8" s="121">
        <f t="shared" si="1"/>
        <v>2.5000000000000001E-3</v>
      </c>
    </row>
    <row r="9" spans="1:15" ht="60" x14ac:dyDescent="0.35">
      <c r="A9" s="44" t="s">
        <v>519</v>
      </c>
      <c r="B9" s="44" t="s">
        <v>520</v>
      </c>
      <c r="C9" s="117">
        <v>400</v>
      </c>
      <c r="D9" s="102">
        <v>0.16</v>
      </c>
      <c r="E9" s="102">
        <v>0.16500000000000001</v>
      </c>
      <c r="F9" s="118" t="s">
        <v>46</v>
      </c>
      <c r="G9" s="53" t="s">
        <v>514</v>
      </c>
      <c r="H9" s="119">
        <v>0</v>
      </c>
      <c r="I9" s="102">
        <v>3.5000000000000003E-2</v>
      </c>
      <c r="J9" s="119">
        <v>0.7</v>
      </c>
      <c r="K9" s="120">
        <f>C9*I9*J9</f>
        <v>9.8000000000000007</v>
      </c>
      <c r="L9" s="121">
        <v>0.01</v>
      </c>
      <c r="M9" s="120">
        <f>C9*L9</f>
        <v>4</v>
      </c>
      <c r="N9" s="122">
        <f t="shared" si="0"/>
        <v>9.8000000000000007</v>
      </c>
      <c r="O9" s="121">
        <f t="shared" si="1"/>
        <v>2.4500000000000001E-2</v>
      </c>
    </row>
    <row r="10" spans="1:15" ht="30" x14ac:dyDescent="0.35">
      <c r="A10" s="44" t="s">
        <v>521</v>
      </c>
      <c r="B10" s="44" t="s">
        <v>522</v>
      </c>
      <c r="C10" s="117">
        <v>250</v>
      </c>
      <c r="D10" s="102">
        <v>0.11</v>
      </c>
      <c r="E10" s="102">
        <v>0.1125</v>
      </c>
      <c r="F10" s="118" t="s">
        <v>46</v>
      </c>
      <c r="G10" s="53" t="s">
        <v>514</v>
      </c>
      <c r="H10" s="119">
        <v>1</v>
      </c>
      <c r="I10" s="102">
        <v>8.0000000000000002E-3</v>
      </c>
      <c r="J10" s="119">
        <v>0.2</v>
      </c>
      <c r="K10" s="120">
        <f>C10*I10*J10</f>
        <v>0.4</v>
      </c>
      <c r="L10" s="121">
        <v>4.0000000000000001E-3</v>
      </c>
      <c r="M10" s="120">
        <f>C10*L10</f>
        <v>1</v>
      </c>
      <c r="N10" s="122">
        <f t="shared" si="0"/>
        <v>1</v>
      </c>
      <c r="O10" s="121">
        <f t="shared" si="1"/>
        <v>4.0000000000000001E-3</v>
      </c>
    </row>
    <row r="11" spans="1:15" ht="90" x14ac:dyDescent="0.35">
      <c r="A11" s="44" t="s">
        <v>523</v>
      </c>
      <c r="B11" s="124" t="s">
        <v>524</v>
      </c>
      <c r="C11" s="117">
        <v>150</v>
      </c>
      <c r="D11" s="102">
        <v>0.115</v>
      </c>
      <c r="E11" s="125" t="s">
        <v>525</v>
      </c>
      <c r="F11" s="126" t="s">
        <v>52</v>
      </c>
      <c r="G11" s="127">
        <v>2</v>
      </c>
      <c r="H11" s="119">
        <v>0.6</v>
      </c>
      <c r="I11" s="128" t="s">
        <v>526</v>
      </c>
      <c r="J11" s="119">
        <v>0.55000000000000004</v>
      </c>
      <c r="K11" s="120">
        <f>C11*J11</f>
        <v>82.5</v>
      </c>
      <c r="L11" s="128" t="s">
        <v>527</v>
      </c>
      <c r="M11" s="120">
        <f>C11*(H11*55%+(1-H11)*100%)</f>
        <v>109.5</v>
      </c>
      <c r="N11" s="122">
        <f t="shared" si="0"/>
        <v>109.5</v>
      </c>
      <c r="O11" s="121">
        <f t="shared" si="1"/>
        <v>0.73</v>
      </c>
    </row>
    <row r="12" spans="1:15" x14ac:dyDescent="0.35">
      <c r="A12" s="44"/>
      <c r="B12" s="44"/>
      <c r="C12" s="44"/>
      <c r="D12" s="44"/>
      <c r="E12" s="44"/>
      <c r="F12" s="44"/>
      <c r="G12" s="44"/>
      <c r="H12" s="44"/>
      <c r="I12" s="44"/>
      <c r="J12" s="44"/>
      <c r="K12" s="44"/>
      <c r="L12" s="44"/>
      <c r="M12" s="44"/>
      <c r="N12" s="44"/>
      <c r="O12" s="44"/>
    </row>
    <row r="13" spans="1:15" ht="30" x14ac:dyDescent="0.35">
      <c r="A13" s="67" t="s">
        <v>528</v>
      </c>
      <c r="B13" s="67" t="s">
        <v>529</v>
      </c>
      <c r="C13" s="129">
        <f>SUM(C6:C11)</f>
        <v>4300</v>
      </c>
      <c r="D13" s="44"/>
      <c r="E13" s="44"/>
      <c r="F13" s="44"/>
      <c r="G13" s="44"/>
      <c r="H13" s="44"/>
      <c r="I13" s="44"/>
      <c r="J13" s="44"/>
      <c r="K13" s="130">
        <f>SUM(K6:K11)</f>
        <v>132.30000000000001</v>
      </c>
      <c r="L13" s="44"/>
      <c r="M13" s="130">
        <f>SUM(M6:M11)</f>
        <v>163.5</v>
      </c>
      <c r="N13" s="131">
        <f>SUM(N6:N11)</f>
        <v>170.5</v>
      </c>
      <c r="O13" s="132">
        <f>N13/C13</f>
        <v>3.9651162790697678E-2</v>
      </c>
    </row>
    <row r="15" spans="1:15" x14ac:dyDescent="0.35">
      <c r="A15" s="177" t="s">
        <v>530</v>
      </c>
      <c r="B15" s="177"/>
      <c r="C15" s="177"/>
      <c r="D15" s="177"/>
      <c r="E15" s="177"/>
      <c r="F15" s="177"/>
      <c r="G15" s="177"/>
      <c r="H15" s="177"/>
      <c r="I15" s="177"/>
      <c r="J15" s="177"/>
      <c r="K15" s="177"/>
      <c r="L15" s="177"/>
      <c r="M15" s="177"/>
      <c r="N15" s="177"/>
      <c r="O15" s="177"/>
    </row>
    <row r="16" spans="1:15" ht="90" x14ac:dyDescent="0.35">
      <c r="A16" s="116" t="s">
        <v>42</v>
      </c>
      <c r="B16" s="116" t="s">
        <v>531</v>
      </c>
      <c r="C16" s="116" t="s">
        <v>501</v>
      </c>
      <c r="D16" s="116" t="s">
        <v>532</v>
      </c>
      <c r="E16" s="116" t="s">
        <v>510</v>
      </c>
      <c r="F16" s="116" t="s">
        <v>533</v>
      </c>
    </row>
    <row r="17" spans="1:15" ht="30" x14ac:dyDescent="0.35">
      <c r="A17" s="111" t="s">
        <v>46</v>
      </c>
      <c r="B17" s="53">
        <f>COUNTIF(F6:F11,"Stage 1")</f>
        <v>4</v>
      </c>
      <c r="C17" s="133">
        <f>SUMIF(F6:F11,"Stage 1",C6:C11)</f>
        <v>3350</v>
      </c>
      <c r="D17" s="134">
        <f>C17/$C$13</f>
        <v>0.77906976744186052</v>
      </c>
      <c r="E17" s="120">
        <f>SUMIF(F6:F11,"Stage 1",N6:N11)</f>
        <v>21</v>
      </c>
      <c r="F17" s="121">
        <f>E17/C17</f>
        <v>6.2686567164179103E-3</v>
      </c>
    </row>
    <row r="18" spans="1:15" ht="30" x14ac:dyDescent="0.35">
      <c r="A18" s="113" t="s">
        <v>50</v>
      </c>
      <c r="B18" s="53">
        <f>COUNTIF(F6:F11,"Stage 2")</f>
        <v>1</v>
      </c>
      <c r="C18" s="133">
        <f>SUMIF(F6:F11,"Stage 2",C6:C11)</f>
        <v>800</v>
      </c>
      <c r="D18" s="134">
        <f>C18/$C$13</f>
        <v>0.18604651162790697</v>
      </c>
      <c r="E18" s="120">
        <f>SUMIF(F6:F11,"Stage 2",N6:N11)</f>
        <v>40</v>
      </c>
      <c r="F18" s="121">
        <f>E18/C18</f>
        <v>0.05</v>
      </c>
    </row>
    <row r="19" spans="1:15" ht="30" x14ac:dyDescent="0.35">
      <c r="A19" s="114" t="s">
        <v>52</v>
      </c>
      <c r="B19" s="53">
        <f>COUNTIF(F6:F11,"Stage 3")</f>
        <v>1</v>
      </c>
      <c r="C19" s="133">
        <f>SUMIF(F6:F11,"Stage 3",C6:C11)</f>
        <v>150</v>
      </c>
      <c r="D19" s="134">
        <f>C19/$C$13</f>
        <v>3.4883720930232558E-2</v>
      </c>
      <c r="E19" s="120">
        <f>SUMIF(F6:F11,"Stage 3",N6:N11)</f>
        <v>109.5</v>
      </c>
      <c r="F19" s="121">
        <f>E19/C19</f>
        <v>0.73</v>
      </c>
    </row>
    <row r="20" spans="1:15" ht="30" x14ac:dyDescent="0.35">
      <c r="A20" s="97" t="s">
        <v>458</v>
      </c>
      <c r="B20" s="135">
        <f>SUM(B17:B19)</f>
        <v>6</v>
      </c>
      <c r="C20" s="136">
        <f>SUM(C17:C19)</f>
        <v>4300</v>
      </c>
      <c r="D20" s="137">
        <f>C20/C13</f>
        <v>1</v>
      </c>
      <c r="E20" s="138">
        <f>SUM(E17:E19)</f>
        <v>170.5</v>
      </c>
      <c r="F20" s="139">
        <f>E20/C20</f>
        <v>3.9651162790697678E-2</v>
      </c>
    </row>
    <row r="22" spans="1:15" x14ac:dyDescent="0.35">
      <c r="A22" s="177" t="s">
        <v>534</v>
      </c>
      <c r="B22" s="177"/>
      <c r="C22" s="177"/>
      <c r="D22" s="177"/>
      <c r="E22" s="177"/>
      <c r="F22" s="177"/>
      <c r="G22" s="177"/>
      <c r="H22" s="177"/>
      <c r="I22" s="177"/>
      <c r="J22" s="177"/>
      <c r="K22" s="177"/>
      <c r="L22" s="177"/>
      <c r="M22" s="177"/>
      <c r="N22" s="177"/>
      <c r="O22" s="177"/>
    </row>
    <row r="23" spans="1:15" ht="60" x14ac:dyDescent="0.35">
      <c r="A23" s="44" t="s">
        <v>535</v>
      </c>
      <c r="B23" s="140">
        <v>95</v>
      </c>
    </row>
    <row r="24" spans="1:15" ht="30" x14ac:dyDescent="0.35">
      <c r="A24" s="44" t="s">
        <v>536</v>
      </c>
      <c r="B24" s="120">
        <f>N13</f>
        <v>170.5</v>
      </c>
    </row>
    <row r="25" spans="1:15" ht="30" x14ac:dyDescent="0.35">
      <c r="A25" s="44" t="s">
        <v>537</v>
      </c>
      <c r="B25" s="122">
        <f>MAX(0,B24-B23)</f>
        <v>75.5</v>
      </c>
    </row>
    <row r="26" spans="1:15" ht="30" x14ac:dyDescent="0.35">
      <c r="A26" s="44" t="s">
        <v>184</v>
      </c>
      <c r="B26" s="103">
        <v>0.252</v>
      </c>
    </row>
    <row r="27" spans="1:15" ht="60" x14ac:dyDescent="0.35">
      <c r="A27" s="44" t="s">
        <v>185</v>
      </c>
      <c r="B27" s="138">
        <f>B25*(1-B26)</f>
        <v>56.473999999999997</v>
      </c>
    </row>
    <row r="29" spans="1:15" ht="120" x14ac:dyDescent="0.35">
      <c r="A29" s="116" t="s">
        <v>538</v>
      </c>
      <c r="B29" s="116" t="s">
        <v>188</v>
      </c>
      <c r="C29" s="116" t="s">
        <v>191</v>
      </c>
      <c r="D29" s="116" t="s">
        <v>539</v>
      </c>
    </row>
    <row r="30" spans="1:15" ht="30" x14ac:dyDescent="0.35">
      <c r="A30" s="44" t="s">
        <v>193</v>
      </c>
      <c r="B30" s="141">
        <v>0.8</v>
      </c>
      <c r="C30" s="120">
        <f>$B$27*B30</f>
        <v>45.179200000000002</v>
      </c>
      <c r="D30" s="142">
        <f>$B$27-C30</f>
        <v>11.294799999999995</v>
      </c>
    </row>
    <row r="31" spans="1:15" ht="30" x14ac:dyDescent="0.35">
      <c r="A31" s="44" t="s">
        <v>194</v>
      </c>
      <c r="B31" s="141">
        <v>0.6</v>
      </c>
      <c r="C31" s="120">
        <f>$B$27*B31</f>
        <v>33.884399999999999</v>
      </c>
      <c r="D31" s="142">
        <f>$B$27-C31</f>
        <v>22.589599999999997</v>
      </c>
    </row>
    <row r="32" spans="1:15" ht="30" x14ac:dyDescent="0.35">
      <c r="A32" s="44" t="s">
        <v>195</v>
      </c>
      <c r="B32" s="141">
        <v>0.4</v>
      </c>
      <c r="C32" s="120">
        <f>$B$27*B32</f>
        <v>22.589600000000001</v>
      </c>
      <c r="D32" s="142">
        <f>$B$27-C32</f>
        <v>33.884399999999999</v>
      </c>
    </row>
    <row r="33" spans="1:15" ht="30" x14ac:dyDescent="0.35">
      <c r="A33" s="44" t="s">
        <v>196</v>
      </c>
      <c r="B33" s="141">
        <v>0.2</v>
      </c>
      <c r="C33" s="120">
        <f>$B$27*B33</f>
        <v>11.2948</v>
      </c>
      <c r="D33" s="142">
        <f>$B$27-C33</f>
        <v>45.179199999999994</v>
      </c>
    </row>
    <row r="34" spans="1:15" ht="30" x14ac:dyDescent="0.35">
      <c r="A34" s="44" t="s">
        <v>197</v>
      </c>
      <c r="B34" s="141">
        <v>0</v>
      </c>
      <c r="C34" s="120">
        <f>$B$27*B34</f>
        <v>0</v>
      </c>
      <c r="D34" s="142">
        <f>$B$27-C34</f>
        <v>56.473999999999997</v>
      </c>
    </row>
    <row r="36" spans="1:15" x14ac:dyDescent="0.35">
      <c r="A36" s="177" t="s">
        <v>540</v>
      </c>
      <c r="B36" s="177"/>
      <c r="C36" s="177"/>
      <c r="D36" s="177"/>
      <c r="E36" s="177"/>
      <c r="F36" s="177"/>
      <c r="G36" s="177"/>
      <c r="H36" s="177"/>
      <c r="I36" s="177"/>
      <c r="J36" s="177"/>
      <c r="K36" s="177"/>
      <c r="L36" s="177"/>
      <c r="M36" s="177"/>
      <c r="N36" s="177"/>
      <c r="O36" s="177"/>
    </row>
    <row r="37" spans="1:15" ht="30" x14ac:dyDescent="0.35">
      <c r="A37" s="44" t="s">
        <v>541</v>
      </c>
      <c r="B37" s="136">
        <f>C13</f>
        <v>4300</v>
      </c>
    </row>
    <row r="38" spans="1:15" ht="30" x14ac:dyDescent="0.35">
      <c r="A38" s="44" t="s">
        <v>542</v>
      </c>
      <c r="B38" s="138">
        <f>N13</f>
        <v>170.5</v>
      </c>
    </row>
    <row r="39" spans="1:15" ht="30" x14ac:dyDescent="0.35">
      <c r="A39" s="44" t="s">
        <v>543</v>
      </c>
      <c r="B39" s="139">
        <f>B38/B37</f>
        <v>3.9651162790697678E-2</v>
      </c>
    </row>
    <row r="40" spans="1:15" ht="30" x14ac:dyDescent="0.35">
      <c r="A40" s="44" t="s">
        <v>544</v>
      </c>
      <c r="B40" s="134">
        <f>D17</f>
        <v>0.77906976744186052</v>
      </c>
    </row>
    <row r="41" spans="1:15" ht="30" x14ac:dyDescent="0.35">
      <c r="A41" s="44" t="s">
        <v>545</v>
      </c>
      <c r="B41" s="134">
        <f>D18</f>
        <v>0.18604651162790697</v>
      </c>
    </row>
    <row r="42" spans="1:15" ht="60" x14ac:dyDescent="0.35">
      <c r="A42" s="44" t="s">
        <v>546</v>
      </c>
      <c r="B42" s="143">
        <f>D19</f>
        <v>3.4883720930232558E-2</v>
      </c>
    </row>
    <row r="43" spans="1:15" ht="60" x14ac:dyDescent="0.35">
      <c r="A43" s="44" t="s">
        <v>547</v>
      </c>
      <c r="B43" s="134">
        <f>E19/C19</f>
        <v>0.73</v>
      </c>
    </row>
    <row r="44" spans="1:15" ht="60" x14ac:dyDescent="0.35">
      <c r="A44" s="44" t="s">
        <v>548</v>
      </c>
      <c r="B44" s="142">
        <f>B25</f>
        <v>75.5</v>
      </c>
    </row>
    <row r="45" spans="1:15" ht="60" x14ac:dyDescent="0.35">
      <c r="A45" s="44" t="s">
        <v>549</v>
      </c>
      <c r="B45" s="142">
        <f>D30</f>
        <v>11.294799999999995</v>
      </c>
    </row>
    <row r="47" spans="1:15" x14ac:dyDescent="0.35">
      <c r="A47" s="177" t="s">
        <v>550</v>
      </c>
      <c r="B47" s="177"/>
      <c r="C47" s="177"/>
      <c r="D47" s="177"/>
      <c r="E47" s="177"/>
      <c r="F47" s="177"/>
      <c r="G47" s="177"/>
      <c r="H47" s="177"/>
      <c r="I47" s="177"/>
      <c r="J47" s="177"/>
      <c r="K47" s="177"/>
      <c r="L47" s="177"/>
      <c r="M47" s="177"/>
      <c r="N47" s="177"/>
      <c r="O47" s="177"/>
    </row>
    <row r="48" spans="1:15" x14ac:dyDescent="0.35">
      <c r="A48" s="167" t="s">
        <v>551</v>
      </c>
      <c r="B48" s="167"/>
      <c r="C48" s="167"/>
      <c r="D48" s="167"/>
      <c r="E48" s="167"/>
      <c r="F48" s="167"/>
      <c r="G48" s="167"/>
      <c r="H48" s="167"/>
      <c r="I48" s="167"/>
      <c r="J48" s="167"/>
      <c r="K48" s="167"/>
      <c r="L48" s="167"/>
      <c r="M48" s="167"/>
      <c r="N48" s="167"/>
      <c r="O48" s="167"/>
    </row>
    <row r="49" spans="1:15" x14ac:dyDescent="0.35">
      <c r="A49" s="167" t="s">
        <v>552</v>
      </c>
      <c r="B49" s="167"/>
      <c r="C49" s="167"/>
      <c r="D49" s="167"/>
      <c r="E49" s="167"/>
      <c r="F49" s="167"/>
      <c r="G49" s="167"/>
      <c r="H49" s="167"/>
      <c r="I49" s="167"/>
      <c r="J49" s="167"/>
      <c r="K49" s="167"/>
      <c r="L49" s="167"/>
      <c r="M49" s="167"/>
      <c r="N49" s="167"/>
      <c r="O49" s="167"/>
    </row>
    <row r="50" spans="1:15" x14ac:dyDescent="0.35">
      <c r="A50" s="167" t="s">
        <v>553</v>
      </c>
      <c r="B50" s="167"/>
      <c r="C50" s="167"/>
      <c r="D50" s="167"/>
      <c r="E50" s="167"/>
      <c r="F50" s="167"/>
      <c r="G50" s="167"/>
      <c r="H50" s="167"/>
      <c r="I50" s="167"/>
      <c r="J50" s="167"/>
      <c r="K50" s="167"/>
      <c r="L50" s="167"/>
      <c r="M50" s="167"/>
      <c r="N50" s="167"/>
      <c r="O50" s="167"/>
    </row>
    <row r="51" spans="1:15" x14ac:dyDescent="0.35">
      <c r="A51" s="167" t="s">
        <v>554</v>
      </c>
      <c r="B51" s="167"/>
      <c r="C51" s="167"/>
      <c r="D51" s="167"/>
      <c r="E51" s="167"/>
      <c r="F51" s="167"/>
      <c r="G51" s="167"/>
      <c r="H51" s="167"/>
      <c r="I51" s="167"/>
      <c r="J51" s="167"/>
      <c r="K51" s="167"/>
      <c r="L51" s="167"/>
      <c r="M51" s="167"/>
      <c r="N51" s="167"/>
      <c r="O51" s="167"/>
    </row>
    <row r="52" spans="1:15" x14ac:dyDescent="0.35">
      <c r="A52" s="167" t="s">
        <v>555</v>
      </c>
      <c r="B52" s="167"/>
      <c r="C52" s="167"/>
      <c r="D52" s="167"/>
      <c r="E52" s="167"/>
      <c r="F52" s="167"/>
      <c r="G52" s="167"/>
      <c r="H52" s="167"/>
      <c r="I52" s="167"/>
      <c r="J52" s="167"/>
      <c r="K52" s="167"/>
      <c r="L52" s="167"/>
      <c r="M52" s="167"/>
      <c r="N52" s="167"/>
      <c r="O52" s="167"/>
    </row>
    <row r="54" spans="1:15" x14ac:dyDescent="0.35">
      <c r="A54"/>
      <c r="B54"/>
      <c r="C54"/>
      <c r="D54"/>
      <c r="E54"/>
      <c r="F54"/>
      <c r="G54"/>
      <c r="H54"/>
      <c r="I54"/>
      <c r="J54"/>
      <c r="K54"/>
      <c r="L54"/>
      <c r="M54"/>
      <c r="N54"/>
      <c r="O54"/>
    </row>
    <row r="55" spans="1:15" ht="29" customHeight="1" x14ac:dyDescent="0.35">
      <c r="A55"/>
      <c r="B55"/>
      <c r="C55"/>
      <c r="D55"/>
      <c r="E55"/>
      <c r="F55"/>
      <c r="G55"/>
      <c r="H55"/>
      <c r="I55"/>
      <c r="J55"/>
      <c r="K55"/>
      <c r="L55"/>
      <c r="M55"/>
      <c r="N55"/>
      <c r="O55"/>
    </row>
    <row r="56" spans="1:15" x14ac:dyDescent="0.35">
      <c r="A56"/>
      <c r="B56"/>
      <c r="C56"/>
      <c r="D56"/>
      <c r="E56"/>
      <c r="F56"/>
      <c r="G56"/>
      <c r="H56"/>
      <c r="I56"/>
      <c r="J56"/>
      <c r="K56"/>
      <c r="L56"/>
      <c r="M56"/>
      <c r="N56"/>
      <c r="O56"/>
    </row>
    <row r="57" spans="1:15" ht="29" customHeight="1" x14ac:dyDescent="0.35">
      <c r="A57"/>
      <c r="B57"/>
      <c r="C57"/>
      <c r="D57"/>
      <c r="E57"/>
      <c r="F57"/>
      <c r="G57"/>
      <c r="H57"/>
      <c r="I57"/>
      <c r="J57"/>
      <c r="K57"/>
      <c r="L57"/>
      <c r="M57"/>
      <c r="N57"/>
      <c r="O57"/>
    </row>
    <row r="58" spans="1:15" ht="29" customHeight="1" x14ac:dyDescent="0.35">
      <c r="A58"/>
      <c r="B58"/>
      <c r="C58"/>
      <c r="D58"/>
      <c r="E58"/>
      <c r="F58"/>
      <c r="G58"/>
      <c r="H58"/>
      <c r="I58"/>
      <c r="J58"/>
      <c r="K58"/>
      <c r="L58"/>
      <c r="M58"/>
      <c r="N58"/>
      <c r="O58"/>
    </row>
    <row r="59" spans="1:15" ht="29" customHeight="1" x14ac:dyDescent="0.35">
      <c r="A59"/>
      <c r="B59"/>
      <c r="C59"/>
      <c r="D59"/>
      <c r="E59"/>
      <c r="F59"/>
      <c r="G59"/>
      <c r="H59"/>
      <c r="I59"/>
      <c r="J59"/>
      <c r="K59"/>
      <c r="L59"/>
      <c r="M59"/>
      <c r="N59"/>
      <c r="O59"/>
    </row>
    <row r="60" spans="1:15" ht="29" customHeight="1" x14ac:dyDescent="0.35">
      <c r="A60"/>
      <c r="B60"/>
      <c r="C60"/>
      <c r="D60"/>
      <c r="E60"/>
      <c r="F60"/>
      <c r="G60"/>
      <c r="H60"/>
      <c r="I60"/>
      <c r="J60"/>
      <c r="K60"/>
      <c r="L60"/>
      <c r="M60"/>
      <c r="N60"/>
      <c r="O60"/>
    </row>
    <row r="61" spans="1:15" ht="29" customHeight="1" x14ac:dyDescent="0.35">
      <c r="A61"/>
      <c r="B61"/>
      <c r="C61"/>
      <c r="D61"/>
      <c r="E61"/>
      <c r="F61"/>
      <c r="G61"/>
      <c r="H61"/>
      <c r="I61"/>
      <c r="J61"/>
      <c r="K61"/>
      <c r="L61"/>
      <c r="M61"/>
      <c r="N61"/>
      <c r="O61"/>
    </row>
    <row r="62" spans="1:15" x14ac:dyDescent="0.35">
      <c r="A62"/>
      <c r="B62"/>
      <c r="C62"/>
      <c r="D62"/>
      <c r="E62"/>
      <c r="F62"/>
      <c r="G62"/>
      <c r="H62"/>
      <c r="I62"/>
      <c r="J62"/>
      <c r="K62"/>
      <c r="L62"/>
      <c r="M62"/>
      <c r="N62"/>
      <c r="O62"/>
    </row>
    <row r="63" spans="1:15" ht="29" customHeight="1" x14ac:dyDescent="0.35">
      <c r="A63"/>
      <c r="B63"/>
      <c r="C63"/>
      <c r="D63"/>
      <c r="E63"/>
      <c r="F63"/>
      <c r="G63"/>
      <c r="H63"/>
      <c r="I63"/>
      <c r="J63"/>
      <c r="K63"/>
      <c r="L63"/>
      <c r="M63"/>
      <c r="N63"/>
      <c r="O63"/>
    </row>
    <row r="64" spans="1:15" ht="29" customHeight="1" x14ac:dyDescent="0.35">
      <c r="A64"/>
      <c r="B64"/>
      <c r="C64"/>
      <c r="D64"/>
      <c r="E64"/>
      <c r="F64"/>
      <c r="G64"/>
      <c r="H64"/>
      <c r="I64"/>
      <c r="J64"/>
      <c r="K64"/>
      <c r="L64"/>
      <c r="M64"/>
      <c r="N64"/>
      <c r="O64"/>
    </row>
    <row r="65" spans="1:15" x14ac:dyDescent="0.35">
      <c r="A65"/>
      <c r="B65"/>
      <c r="C65"/>
      <c r="D65"/>
      <c r="E65"/>
      <c r="F65"/>
      <c r="G65"/>
      <c r="H65"/>
      <c r="I65"/>
      <c r="J65"/>
      <c r="K65"/>
      <c r="L65"/>
      <c r="M65"/>
      <c r="N65"/>
      <c r="O65"/>
    </row>
    <row r="66" spans="1:15" x14ac:dyDescent="0.35">
      <c r="A66"/>
      <c r="B66"/>
      <c r="C66"/>
      <c r="D66"/>
      <c r="E66"/>
      <c r="F66"/>
      <c r="G66"/>
      <c r="H66"/>
      <c r="I66"/>
      <c r="J66"/>
      <c r="K66"/>
      <c r="L66"/>
      <c r="M66"/>
      <c r="N66"/>
      <c r="O66"/>
    </row>
    <row r="67" spans="1:15" x14ac:dyDescent="0.35">
      <c r="A67"/>
      <c r="B67"/>
      <c r="C67"/>
      <c r="D67"/>
      <c r="E67"/>
      <c r="F67"/>
      <c r="G67"/>
      <c r="H67"/>
      <c r="I67"/>
      <c r="J67"/>
      <c r="K67"/>
      <c r="L67"/>
      <c r="M67"/>
      <c r="N67"/>
      <c r="O67"/>
    </row>
    <row r="68" spans="1:15" ht="29" customHeight="1" x14ac:dyDescent="0.35">
      <c r="A68"/>
      <c r="B68"/>
      <c r="C68"/>
      <c r="D68"/>
      <c r="E68"/>
      <c r="F68"/>
      <c r="G68"/>
      <c r="H68"/>
      <c r="I68"/>
      <c r="J68"/>
      <c r="K68"/>
      <c r="L68"/>
      <c r="M68"/>
      <c r="N68"/>
      <c r="O68"/>
    </row>
    <row r="69" spans="1:15" x14ac:dyDescent="0.35">
      <c r="A69"/>
      <c r="B69"/>
      <c r="C69"/>
      <c r="D69"/>
      <c r="E69"/>
      <c r="F69"/>
      <c r="G69"/>
      <c r="H69"/>
      <c r="I69"/>
      <c r="J69"/>
      <c r="K69"/>
      <c r="L69"/>
      <c r="M69"/>
      <c r="N69"/>
      <c r="O69"/>
    </row>
    <row r="70" spans="1:15" ht="29" customHeight="1" x14ac:dyDescent="0.35">
      <c r="A70"/>
      <c r="B70"/>
      <c r="C70"/>
      <c r="D70"/>
      <c r="E70"/>
      <c r="F70"/>
      <c r="G70"/>
      <c r="H70"/>
      <c r="I70"/>
      <c r="J70"/>
      <c r="K70"/>
      <c r="L70"/>
      <c r="M70"/>
      <c r="N70"/>
      <c r="O70"/>
    </row>
    <row r="71" spans="1:15" ht="29" customHeight="1" x14ac:dyDescent="0.35">
      <c r="A71"/>
      <c r="B71"/>
      <c r="C71"/>
      <c r="D71"/>
      <c r="E71"/>
      <c r="F71"/>
      <c r="G71"/>
      <c r="H71"/>
      <c r="I71"/>
      <c r="J71"/>
      <c r="K71"/>
      <c r="L71"/>
      <c r="M71"/>
      <c r="N71"/>
      <c r="O71"/>
    </row>
    <row r="72" spans="1:15" ht="29" customHeight="1" x14ac:dyDescent="0.35">
      <c r="A72"/>
      <c r="B72"/>
      <c r="C72"/>
      <c r="D72"/>
      <c r="E72"/>
      <c r="F72"/>
      <c r="G72"/>
      <c r="H72"/>
      <c r="I72"/>
      <c r="J72"/>
      <c r="K72"/>
      <c r="L72"/>
      <c r="M72"/>
      <c r="N72"/>
      <c r="O72"/>
    </row>
    <row r="73" spans="1:15" ht="29" customHeight="1" x14ac:dyDescent="0.35">
      <c r="A73"/>
      <c r="B73"/>
      <c r="C73"/>
      <c r="D73"/>
      <c r="E73"/>
      <c r="F73"/>
      <c r="G73"/>
      <c r="H73"/>
      <c r="I73"/>
      <c r="J73"/>
      <c r="K73"/>
      <c r="L73"/>
      <c r="M73"/>
      <c r="N73"/>
      <c r="O73"/>
    </row>
    <row r="74" spans="1:15" ht="29" customHeight="1" x14ac:dyDescent="0.35">
      <c r="A74"/>
      <c r="B74"/>
      <c r="C74"/>
      <c r="D74"/>
      <c r="E74"/>
      <c r="F74"/>
      <c r="G74"/>
      <c r="H74"/>
      <c r="I74"/>
      <c r="J74"/>
      <c r="K74"/>
      <c r="L74"/>
      <c r="M74"/>
      <c r="N74"/>
      <c r="O74"/>
    </row>
    <row r="75" spans="1:15" ht="29" customHeight="1" x14ac:dyDescent="0.35">
      <c r="A75"/>
      <c r="B75"/>
      <c r="C75"/>
      <c r="D75"/>
      <c r="E75"/>
      <c r="F75"/>
      <c r="G75"/>
      <c r="H75"/>
      <c r="I75"/>
      <c r="J75"/>
      <c r="K75"/>
      <c r="L75"/>
      <c r="M75"/>
      <c r="N75"/>
      <c r="O75"/>
    </row>
    <row r="76" spans="1:15" ht="29" customHeight="1" x14ac:dyDescent="0.35">
      <c r="A76"/>
      <c r="B76"/>
      <c r="C76"/>
      <c r="D76"/>
      <c r="E76"/>
      <c r="F76"/>
      <c r="G76"/>
      <c r="H76"/>
      <c r="I76"/>
      <c r="J76"/>
      <c r="K76"/>
      <c r="L76"/>
      <c r="M76"/>
      <c r="N76"/>
      <c r="O76"/>
    </row>
    <row r="77" spans="1:15" ht="29" customHeight="1" x14ac:dyDescent="0.35">
      <c r="A77"/>
      <c r="B77"/>
      <c r="C77"/>
      <c r="D77"/>
      <c r="E77"/>
      <c r="F77"/>
      <c r="G77"/>
      <c r="H77"/>
      <c r="I77"/>
      <c r="J77"/>
      <c r="K77"/>
      <c r="L77"/>
      <c r="M77"/>
      <c r="N77"/>
      <c r="O77"/>
    </row>
    <row r="78" spans="1:15" ht="29" customHeight="1" x14ac:dyDescent="0.35">
      <c r="A78"/>
      <c r="B78"/>
      <c r="C78"/>
      <c r="D78"/>
      <c r="E78"/>
      <c r="F78"/>
      <c r="G78"/>
      <c r="H78"/>
      <c r="I78"/>
      <c r="J78"/>
      <c r="K78"/>
      <c r="L78"/>
      <c r="M78"/>
      <c r="N78"/>
      <c r="O78"/>
    </row>
    <row r="79" spans="1:15" ht="29" customHeight="1" x14ac:dyDescent="0.35">
      <c r="A79"/>
      <c r="B79"/>
      <c r="C79"/>
      <c r="D79"/>
      <c r="E79"/>
      <c r="F79"/>
      <c r="G79"/>
      <c r="H79"/>
      <c r="I79"/>
      <c r="J79"/>
      <c r="K79"/>
      <c r="L79"/>
      <c r="M79"/>
      <c r="N79"/>
      <c r="O79"/>
    </row>
    <row r="80" spans="1:15" ht="29" customHeight="1" x14ac:dyDescent="0.35">
      <c r="A80"/>
      <c r="B80"/>
      <c r="C80"/>
      <c r="D80"/>
      <c r="E80"/>
      <c r="F80"/>
      <c r="G80"/>
      <c r="H80"/>
      <c r="I80"/>
      <c r="J80"/>
      <c r="K80"/>
      <c r="L80"/>
      <c r="M80"/>
      <c r="N80"/>
      <c r="O80"/>
    </row>
    <row r="81" spans="1:15" x14ac:dyDescent="0.35">
      <c r="A81"/>
      <c r="B81"/>
      <c r="C81"/>
      <c r="D81"/>
      <c r="E81"/>
      <c r="F81"/>
      <c r="G81"/>
      <c r="H81"/>
      <c r="I81"/>
      <c r="J81"/>
      <c r="K81"/>
      <c r="L81"/>
      <c r="M81"/>
      <c r="N81"/>
      <c r="O81"/>
    </row>
    <row r="82" spans="1:15" ht="29" customHeight="1" x14ac:dyDescent="0.35">
      <c r="A82"/>
      <c r="B82"/>
      <c r="C82"/>
      <c r="D82"/>
      <c r="E82"/>
      <c r="F82"/>
      <c r="G82"/>
      <c r="H82"/>
      <c r="I82"/>
      <c r="J82"/>
      <c r="K82"/>
      <c r="L82"/>
      <c r="M82"/>
      <c r="N82"/>
      <c r="O82"/>
    </row>
  </sheetData>
  <mergeCells count="12">
    <mergeCell ref="A52:O52"/>
    <mergeCell ref="A1:O1"/>
    <mergeCell ref="A2:O2"/>
    <mergeCell ref="A4:O4"/>
    <mergeCell ref="A15:O15"/>
    <mergeCell ref="A22:O22"/>
    <mergeCell ref="A36:O36"/>
    <mergeCell ref="A47:O47"/>
    <mergeCell ref="A48:O48"/>
    <mergeCell ref="A49:O49"/>
    <mergeCell ref="A50:O50"/>
    <mergeCell ref="A51:O51"/>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33CAFB-104A-E645-B365-D714DB64870B}">
  <sheetPr>
    <tabColor rgb="FF7030A0"/>
  </sheetPr>
  <dimension ref="A1:H29"/>
  <sheetViews>
    <sheetView topLeftCell="A6" workbookViewId="0">
      <selection activeCell="A29" sqref="A29:H29"/>
    </sheetView>
  </sheetViews>
  <sheetFormatPr baseColWidth="10" defaultRowHeight="29" x14ac:dyDescent="0.35"/>
  <cols>
    <col min="1" max="1" width="23.33203125" style="1" customWidth="1"/>
    <col min="2" max="7" width="18.33203125" style="1" customWidth="1"/>
    <col min="8" max="8" width="28.33203125" style="1" customWidth="1"/>
    <col min="9" max="16384" width="10.83203125" style="1"/>
  </cols>
  <sheetData>
    <row r="1" spans="1:8" x14ac:dyDescent="0.35">
      <c r="A1" s="182" t="s">
        <v>576</v>
      </c>
      <c r="B1" s="182"/>
      <c r="C1" s="182"/>
      <c r="D1" s="182"/>
      <c r="E1" s="182"/>
      <c r="F1" s="182"/>
      <c r="G1" s="182"/>
      <c r="H1" s="182"/>
    </row>
    <row r="2" spans="1:8" x14ac:dyDescent="0.35">
      <c r="A2" s="166" t="s">
        <v>577</v>
      </c>
      <c r="B2" s="166"/>
      <c r="C2" s="166"/>
      <c r="D2" s="166"/>
      <c r="E2" s="166"/>
      <c r="F2" s="166"/>
      <c r="G2" s="166"/>
      <c r="H2" s="166"/>
    </row>
    <row r="3" spans="1:8" x14ac:dyDescent="0.35">
      <c r="A3" s="148"/>
      <c r="B3" s="148"/>
      <c r="C3" s="148"/>
      <c r="D3" s="148"/>
      <c r="E3" s="148"/>
      <c r="F3" s="148"/>
      <c r="G3" s="148"/>
      <c r="H3" s="148"/>
    </row>
    <row r="4" spans="1:8" x14ac:dyDescent="0.35">
      <c r="A4" s="181" t="s">
        <v>578</v>
      </c>
      <c r="B4" s="181"/>
      <c r="C4" s="181"/>
      <c r="D4" s="181"/>
      <c r="E4" s="181"/>
      <c r="F4" s="181"/>
      <c r="G4" s="181"/>
      <c r="H4" s="181"/>
    </row>
    <row r="5" spans="1:8" x14ac:dyDescent="0.35">
      <c r="A5" s="180" t="s">
        <v>557</v>
      </c>
      <c r="B5" s="180"/>
      <c r="C5" s="180"/>
      <c r="D5" s="180"/>
      <c r="E5" s="180"/>
      <c r="F5" s="180"/>
      <c r="G5" s="180"/>
      <c r="H5" s="180"/>
    </row>
    <row r="6" spans="1:8" x14ac:dyDescent="0.35">
      <c r="A6" s="180" t="s">
        <v>558</v>
      </c>
      <c r="B6" s="180"/>
      <c r="C6" s="180"/>
      <c r="D6" s="180"/>
      <c r="E6" s="180"/>
      <c r="F6" s="180"/>
      <c r="G6" s="180"/>
      <c r="H6" s="180"/>
    </row>
    <row r="7" spans="1:8" x14ac:dyDescent="0.35">
      <c r="A7" s="180" t="s">
        <v>559</v>
      </c>
      <c r="B7" s="180"/>
      <c r="C7" s="180"/>
      <c r="D7" s="180"/>
      <c r="E7" s="180"/>
      <c r="F7" s="180"/>
      <c r="G7" s="180"/>
      <c r="H7" s="180"/>
    </row>
    <row r="8" spans="1:8" x14ac:dyDescent="0.35">
      <c r="A8" s="180" t="s">
        <v>560</v>
      </c>
      <c r="B8" s="180"/>
      <c r="C8" s="180"/>
      <c r="D8" s="180"/>
      <c r="E8" s="180"/>
      <c r="F8" s="180"/>
      <c r="G8" s="180"/>
      <c r="H8" s="180"/>
    </row>
    <row r="9" spans="1:8" x14ac:dyDescent="0.35">
      <c r="A9" s="148"/>
      <c r="B9" s="148"/>
      <c r="C9" s="148"/>
      <c r="D9" s="148"/>
      <c r="E9" s="148"/>
      <c r="F9" s="148"/>
      <c r="G9" s="148"/>
      <c r="H9" s="148"/>
    </row>
    <row r="10" spans="1:8" x14ac:dyDescent="0.35">
      <c r="A10" s="181" t="s">
        <v>579</v>
      </c>
      <c r="B10" s="181"/>
      <c r="C10" s="181"/>
      <c r="D10" s="181"/>
      <c r="E10" s="181"/>
      <c r="F10" s="181"/>
      <c r="G10" s="181"/>
      <c r="H10" s="181"/>
    </row>
    <row r="11" spans="1:8" x14ac:dyDescent="0.35">
      <c r="A11" s="166" t="s">
        <v>561</v>
      </c>
      <c r="B11" s="166"/>
      <c r="C11" s="166"/>
      <c r="D11" s="166"/>
      <c r="E11" s="166"/>
      <c r="F11" s="166"/>
      <c r="G11" s="166"/>
      <c r="H11" s="166"/>
    </row>
    <row r="12" spans="1:8" x14ac:dyDescent="0.35">
      <c r="A12" s="180" t="s">
        <v>562</v>
      </c>
      <c r="B12" s="180"/>
      <c r="C12" s="180"/>
      <c r="D12" s="180"/>
      <c r="E12" s="180"/>
      <c r="F12" s="180"/>
      <c r="G12" s="180"/>
      <c r="H12" s="180"/>
    </row>
    <row r="13" spans="1:8" x14ac:dyDescent="0.35">
      <c r="A13" s="180" t="s">
        <v>563</v>
      </c>
      <c r="B13" s="180"/>
      <c r="C13" s="180"/>
      <c r="D13" s="180"/>
      <c r="E13" s="180"/>
      <c r="F13" s="180"/>
      <c r="G13" s="180"/>
      <c r="H13" s="180"/>
    </row>
    <row r="14" spans="1:8" x14ac:dyDescent="0.35">
      <c r="A14" s="180" t="s">
        <v>564</v>
      </c>
      <c r="B14" s="180"/>
      <c r="C14" s="180"/>
      <c r="D14" s="180"/>
      <c r="E14" s="180"/>
      <c r="F14" s="180"/>
      <c r="G14" s="180"/>
      <c r="H14" s="180"/>
    </row>
    <row r="15" spans="1:8" x14ac:dyDescent="0.35">
      <c r="A15" s="180" t="s">
        <v>565</v>
      </c>
      <c r="B15" s="180"/>
      <c r="C15" s="180"/>
      <c r="D15" s="180"/>
      <c r="E15" s="180"/>
      <c r="F15" s="180"/>
      <c r="G15" s="180"/>
      <c r="H15" s="180"/>
    </row>
    <row r="16" spans="1:8" x14ac:dyDescent="0.35">
      <c r="A16" s="148"/>
      <c r="B16" s="148"/>
      <c r="C16" s="148"/>
      <c r="D16" s="148"/>
      <c r="E16" s="148"/>
      <c r="F16" s="148"/>
      <c r="G16" s="148"/>
      <c r="H16" s="148"/>
    </row>
    <row r="17" spans="1:8" x14ac:dyDescent="0.35">
      <c r="A17" s="181" t="s">
        <v>580</v>
      </c>
      <c r="B17" s="181"/>
      <c r="C17" s="181"/>
      <c r="D17" s="181"/>
      <c r="E17" s="181"/>
      <c r="F17" s="181"/>
      <c r="G17" s="181"/>
      <c r="H17" s="181"/>
    </row>
    <row r="18" spans="1:8" x14ac:dyDescent="0.35">
      <c r="A18" s="180" t="s">
        <v>566</v>
      </c>
      <c r="B18" s="180"/>
      <c r="C18" s="180"/>
      <c r="D18" s="180"/>
      <c r="E18" s="180"/>
      <c r="F18" s="180"/>
      <c r="G18" s="180"/>
      <c r="H18" s="180"/>
    </row>
    <row r="19" spans="1:8" x14ac:dyDescent="0.35">
      <c r="A19" s="180" t="s">
        <v>567</v>
      </c>
      <c r="B19" s="180"/>
      <c r="C19" s="180"/>
      <c r="D19" s="180"/>
      <c r="E19" s="180"/>
      <c r="F19" s="180"/>
      <c r="G19" s="180"/>
      <c r="H19" s="180"/>
    </row>
    <row r="20" spans="1:8" x14ac:dyDescent="0.35">
      <c r="A20" s="180" t="s">
        <v>568</v>
      </c>
      <c r="B20" s="180"/>
      <c r="C20" s="180"/>
      <c r="D20" s="180"/>
      <c r="E20" s="180"/>
      <c r="F20" s="180"/>
      <c r="G20" s="180"/>
      <c r="H20" s="180"/>
    </row>
    <row r="21" spans="1:8" x14ac:dyDescent="0.35">
      <c r="A21" s="180" t="s">
        <v>569</v>
      </c>
      <c r="B21" s="180"/>
      <c r="C21" s="180"/>
      <c r="D21" s="180"/>
      <c r="E21" s="180"/>
      <c r="F21" s="180"/>
      <c r="G21" s="180"/>
      <c r="H21" s="180"/>
    </row>
    <row r="22" spans="1:8" x14ac:dyDescent="0.35">
      <c r="A22" s="180" t="s">
        <v>570</v>
      </c>
      <c r="B22" s="180"/>
      <c r="C22" s="180"/>
      <c r="D22" s="180"/>
      <c r="E22" s="180"/>
      <c r="F22" s="180"/>
      <c r="G22" s="180"/>
      <c r="H22" s="180"/>
    </row>
    <row r="23" spans="1:8" x14ac:dyDescent="0.35">
      <c r="A23" s="180" t="s">
        <v>571</v>
      </c>
      <c r="B23" s="180"/>
      <c r="C23" s="180"/>
      <c r="D23" s="180"/>
      <c r="E23" s="180"/>
      <c r="F23" s="180"/>
      <c r="G23" s="180"/>
      <c r="H23" s="180"/>
    </row>
    <row r="24" spans="1:8" x14ac:dyDescent="0.35">
      <c r="A24" s="180" t="s">
        <v>572</v>
      </c>
      <c r="B24" s="180"/>
      <c r="C24" s="180"/>
      <c r="D24" s="180"/>
      <c r="E24" s="180"/>
      <c r="F24" s="180"/>
      <c r="G24" s="180"/>
      <c r="H24" s="180"/>
    </row>
    <row r="25" spans="1:8" x14ac:dyDescent="0.35">
      <c r="A25" s="180" t="s">
        <v>573</v>
      </c>
      <c r="B25" s="180"/>
      <c r="C25" s="180"/>
      <c r="D25" s="180"/>
      <c r="E25" s="180"/>
      <c r="F25" s="180"/>
      <c r="G25" s="180"/>
      <c r="H25" s="180"/>
    </row>
    <row r="26" spans="1:8" x14ac:dyDescent="0.35">
      <c r="A26" s="180" t="s">
        <v>574</v>
      </c>
      <c r="B26" s="180"/>
      <c r="C26" s="180"/>
      <c r="D26" s="180"/>
      <c r="E26" s="180"/>
      <c r="F26" s="180"/>
      <c r="G26" s="180"/>
      <c r="H26" s="180"/>
    </row>
    <row r="27" spans="1:8" x14ac:dyDescent="0.35">
      <c r="A27" s="180" t="s">
        <v>575</v>
      </c>
      <c r="B27" s="180"/>
      <c r="C27" s="180"/>
      <c r="D27" s="180"/>
      <c r="E27" s="180"/>
      <c r="F27" s="180"/>
      <c r="G27" s="180"/>
      <c r="H27" s="180"/>
    </row>
    <row r="28" spans="1:8" x14ac:dyDescent="0.35">
      <c r="A28" s="148"/>
      <c r="B28" s="148"/>
      <c r="C28" s="148"/>
      <c r="D28" s="148"/>
      <c r="E28" s="148"/>
      <c r="F28" s="148"/>
      <c r="G28" s="148"/>
      <c r="H28" s="148"/>
    </row>
    <row r="29" spans="1:8" x14ac:dyDescent="0.35">
      <c r="A29" s="179" t="s">
        <v>581</v>
      </c>
      <c r="B29" s="179"/>
      <c r="C29" s="179"/>
      <c r="D29" s="179"/>
      <c r="E29" s="179"/>
      <c r="F29" s="179"/>
      <c r="G29" s="179"/>
      <c r="H29" s="179"/>
    </row>
  </sheetData>
  <mergeCells count="25">
    <mergeCell ref="A7:H7"/>
    <mergeCell ref="A1:H1"/>
    <mergeCell ref="A2:H2"/>
    <mergeCell ref="A4:H4"/>
    <mergeCell ref="A5:H5"/>
    <mergeCell ref="A6:H6"/>
    <mergeCell ref="A21:H21"/>
    <mergeCell ref="A8:H8"/>
    <mergeCell ref="A10:H10"/>
    <mergeCell ref="A11:H11"/>
    <mergeCell ref="A12:H12"/>
    <mergeCell ref="A13:H13"/>
    <mergeCell ref="A14:H14"/>
    <mergeCell ref="A15:H15"/>
    <mergeCell ref="A17:H17"/>
    <mergeCell ref="A18:H18"/>
    <mergeCell ref="A19:H19"/>
    <mergeCell ref="A20:H20"/>
    <mergeCell ref="A29:H29"/>
    <mergeCell ref="A22:H22"/>
    <mergeCell ref="A23:H23"/>
    <mergeCell ref="A24:H24"/>
    <mergeCell ref="A25:H25"/>
    <mergeCell ref="A26:H26"/>
    <mergeCell ref="A27:H2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13</vt:i4>
      </vt:variant>
    </vt:vector>
  </HeadingPairs>
  <TitlesOfParts>
    <vt:vector size="13" baseType="lpstr">
      <vt:lpstr>0. TOC</vt:lpstr>
      <vt:lpstr>1. Overview</vt:lpstr>
      <vt:lpstr>2. Stages &amp; SICR</vt:lpstr>
      <vt:lpstr>3. ECL Calculation</vt:lpstr>
      <vt:lpstr>4. Scenarios</vt:lpstr>
      <vt:lpstr>5. Floors S1-S2</vt:lpstr>
      <vt:lpstr>6. Floors S3</vt:lpstr>
      <vt:lpstr>7. CET1 Transition</vt:lpstr>
      <vt:lpstr>8. IRAC vs ECL</vt:lpstr>
      <vt:lpstr>9. Detailed Notes</vt:lpstr>
      <vt:lpstr>10. Loan Deep-Dive</vt:lpstr>
      <vt:lpstr>11. Bank Portfolio</vt:lpstr>
      <vt:lpstr>12. Exceptions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Ravichandran Vaidyanathan</dc:creator>
  <cp:lastModifiedBy>Ravichandran Vaidyanathan</cp:lastModifiedBy>
  <dcterms:created xsi:type="dcterms:W3CDTF">2026-04-29T23:51:52Z</dcterms:created>
  <dcterms:modified xsi:type="dcterms:W3CDTF">2026-05-01T19:00:32Z</dcterms:modified>
</cp:coreProperties>
</file>